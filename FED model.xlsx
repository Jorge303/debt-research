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dca17fa1223b7180/Desktop/"/>
    </mc:Choice>
  </mc:AlternateContent>
  <xr:revisionPtr revIDLastSave="3" documentId="8_{BBC5EBAF-254A-456D-94E6-2089FC858C06}" xr6:coauthVersionLast="47" xr6:coauthVersionMax="47" xr10:uidLastSave="{D0CDB91C-7B56-4A46-BF25-AE02D2D7FBAA}"/>
  <bookViews>
    <workbookView xWindow="-120" yWindow="-120" windowWidth="29040" windowHeight="15720" firstSheet="2" activeTab="7" xr2:uid="{4DA15EDA-997D-44C8-ADC7-273D7E9CF3D0}"/>
  </bookViews>
  <sheets>
    <sheet name="Overview" sheetId="1" r:id="rId1"/>
    <sheet name="Decision making" sheetId="2" r:id="rId2"/>
    <sheet name="Macro Model &gt;&gt;" sheetId="8" r:id="rId3"/>
    <sheet name="Model Output" sheetId="16" r:id="rId4"/>
    <sheet name="Regression Model" sheetId="3" r:id="rId5"/>
    <sheet name="Input data" sheetId="7" r:id="rId6"/>
    <sheet name="Micro Model &gt;&gt;" sheetId="20" r:id="rId7"/>
    <sheet name="Output" sheetId="27" r:id="rId8"/>
    <sheet name="tampered Input" sheetId="25" r:id="rId9"/>
    <sheet name="Input" sheetId="21" r:id="rId10"/>
    <sheet name="variable coding" sheetId="22" r:id="rId1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6" i="7" l="1"/>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4" i="7"/>
  <c r="P13" i="7"/>
  <c r="P12" i="7"/>
  <c r="P11" i="7"/>
  <c r="P10" i="7"/>
  <c r="P9" i="7"/>
  <c r="P8" i="7"/>
  <c r="P7" i="7"/>
  <c r="K48" i="3" l="1"/>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9" i="3"/>
  <c r="K8" i="3"/>
  <c r="K7" i="3"/>
  <c r="K6" i="3"/>
  <c r="F47" i="7"/>
  <c r="F46" i="7"/>
  <c r="F45" i="7"/>
  <c r="F44" i="7"/>
  <c r="F43" i="7"/>
  <c r="F42" i="7"/>
  <c r="F41" i="7"/>
  <c r="I40" i="7"/>
  <c r="I40" i="3" s="1"/>
  <c r="F40" i="7"/>
  <c r="I39" i="7"/>
  <c r="I39" i="3" s="1"/>
  <c r="F39" i="7"/>
  <c r="I38" i="7"/>
  <c r="I38" i="3" s="1"/>
  <c r="F38" i="7"/>
  <c r="I37" i="7"/>
  <c r="I37" i="3" s="1"/>
  <c r="F37" i="7"/>
  <c r="I36" i="7"/>
  <c r="I36" i="3" s="1"/>
  <c r="F36" i="7"/>
  <c r="I35" i="7"/>
  <c r="I35" i="3" s="1"/>
  <c r="F35" i="7"/>
  <c r="I34" i="7"/>
  <c r="I34" i="3" s="1"/>
  <c r="F34" i="7"/>
  <c r="I33" i="7"/>
  <c r="I33" i="3" s="1"/>
  <c r="F33" i="7"/>
  <c r="I32" i="7"/>
  <c r="I32" i="3" s="1"/>
  <c r="F32" i="7"/>
  <c r="I31" i="7"/>
  <c r="I31" i="3" s="1"/>
  <c r="F31" i="7"/>
  <c r="I30" i="7"/>
  <c r="I30" i="3" s="1"/>
  <c r="F30" i="7"/>
  <c r="I29" i="7"/>
  <c r="I29" i="3" s="1"/>
  <c r="F29" i="7"/>
  <c r="I28" i="7"/>
  <c r="I28" i="3" s="1"/>
  <c r="F28" i="7"/>
  <c r="I27" i="7"/>
  <c r="I27" i="3" s="1"/>
  <c r="F27" i="7"/>
  <c r="I26" i="7"/>
  <c r="I26" i="3" s="1"/>
  <c r="F26" i="7"/>
  <c r="I25" i="7"/>
  <c r="I25" i="3" s="1"/>
  <c r="F25" i="7"/>
  <c r="I24" i="7"/>
  <c r="I24" i="3" s="1"/>
  <c r="F24" i="7"/>
  <c r="I23" i="7"/>
  <c r="I23" i="3" s="1"/>
  <c r="F23" i="7"/>
  <c r="I22" i="7"/>
  <c r="I22" i="3" s="1"/>
  <c r="F22" i="7"/>
  <c r="I21" i="7"/>
  <c r="I21" i="3" s="1"/>
  <c r="F21" i="7"/>
  <c r="I20" i="7"/>
  <c r="I20" i="3" s="1"/>
  <c r="F20" i="7"/>
  <c r="I19" i="7"/>
  <c r="I19" i="3" s="1"/>
  <c r="F19" i="7"/>
  <c r="I18" i="7"/>
  <c r="I18" i="3" s="1"/>
  <c r="F18" i="7"/>
  <c r="I17" i="7"/>
  <c r="I17" i="3" s="1"/>
  <c r="F17" i="7"/>
  <c r="I16" i="7"/>
  <c r="I16" i="3" s="1"/>
  <c r="F16" i="7"/>
  <c r="I15" i="7"/>
  <c r="I15" i="3" s="1"/>
  <c r="F15" i="7"/>
  <c r="I14" i="7"/>
  <c r="I14" i="3" s="1"/>
  <c r="F14" i="7"/>
  <c r="I13" i="7"/>
  <c r="I13" i="3" s="1"/>
  <c r="F13" i="7"/>
  <c r="I12" i="7"/>
  <c r="I12" i="3" s="1"/>
  <c r="F12" i="7"/>
  <c r="I11" i="7"/>
  <c r="I11" i="3" s="1"/>
  <c r="F11" i="7"/>
  <c r="I10" i="7"/>
  <c r="I10" i="3" s="1"/>
  <c r="F10" i="7"/>
  <c r="I9" i="7"/>
  <c r="I9" i="3" s="1"/>
  <c r="F9" i="7"/>
  <c r="I8" i="7"/>
  <c r="I8" i="3" s="1"/>
  <c r="F8" i="7"/>
  <c r="I7" i="7"/>
  <c r="I7" i="3" s="1"/>
  <c r="F7" i="7"/>
  <c r="I6" i="7"/>
  <c r="I6" i="3" s="1"/>
  <c r="F6" i="7"/>
  <c r="K10" i="3" l="1"/>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5" authorId="0" shapeId="0" xr:uid="{5818B2ED-E57A-48D1-A656-43D9921F44A4}">
      <text>
        <r>
          <rPr>
            <b/>
            <sz val="9"/>
            <color indexed="81"/>
            <rFont val="Tahoma"/>
            <charset val="1"/>
          </rPr>
          <t>User:</t>
        </r>
        <r>
          <rPr>
            <sz val="9"/>
            <color indexed="81"/>
            <rFont val="Tahoma"/>
            <charset val="1"/>
          </rPr>
          <t xml:space="preserve">
Interesting idea although already executed and published: test how accurate the FEDs inflation prediction is. Their time series spans back to 1981 and covers 1-30 years predictions for each month. Compare that with the actual inflation rates of the predicted years
Studies that did that: https://www.dallasfed.org/research/economics/2026/0521</t>
        </r>
      </text>
    </comment>
  </commentList>
</comments>
</file>

<file path=xl/sharedStrings.xml><?xml version="1.0" encoding="utf-8"?>
<sst xmlns="http://schemas.openxmlformats.org/spreadsheetml/2006/main" count="1334" uniqueCount="198">
  <si>
    <t>FOMC</t>
  </si>
  <si>
    <t>Federal Open Market Committee</t>
  </si>
  <si>
    <t>members of the board of governors in Washington</t>
  </si>
  <si>
    <t>president of the Federal Reserve Bank of New York</t>
  </si>
  <si>
    <t>of the remaining 11 regional FED bank presidents</t>
  </si>
  <si>
    <t>total votes</t>
  </si>
  <si>
    <t>Board of Governors</t>
  </si>
  <si>
    <t>Kevin Warsh</t>
  </si>
  <si>
    <t>Philip Jefferson</t>
  </si>
  <si>
    <t>Michelle Bowman</t>
  </si>
  <si>
    <t>Michael Barr</t>
  </si>
  <si>
    <t>Lisa Cook</t>
  </si>
  <si>
    <t>Jerome Powell</t>
  </si>
  <si>
    <t>Christopher Waller</t>
  </si>
  <si>
    <t>New York Fed president</t>
  </si>
  <si>
    <t>John Williams</t>
  </si>
  <si>
    <t>Remaining regional FED presidents</t>
  </si>
  <si>
    <t>District</t>
  </si>
  <si>
    <t>President</t>
  </si>
  <si>
    <t>Boston</t>
  </si>
  <si>
    <t>Susan Collins</t>
  </si>
  <si>
    <t>Philadelphia</t>
  </si>
  <si>
    <t>Patrick Harker</t>
  </si>
  <si>
    <t>Cleveland</t>
  </si>
  <si>
    <t>Beth Hammack</t>
  </si>
  <si>
    <t>Richmond</t>
  </si>
  <si>
    <t>Tom Barkin</t>
  </si>
  <si>
    <t>Atlanta</t>
  </si>
  <si>
    <t>Raphael Bostic</t>
  </si>
  <si>
    <t>Chicago</t>
  </si>
  <si>
    <t>Austan Goolsbee</t>
  </si>
  <si>
    <t>St. Louis</t>
  </si>
  <si>
    <t>Alberto Musalem</t>
  </si>
  <si>
    <t>Minneapolis</t>
  </si>
  <si>
    <t>Neel Kashkari</t>
  </si>
  <si>
    <t>Kansas City</t>
  </si>
  <si>
    <t>Jeff Schmid</t>
  </si>
  <si>
    <t>Dallas</t>
  </si>
  <si>
    <t>Lorie Logan</t>
  </si>
  <si>
    <t>San Francisco</t>
  </si>
  <si>
    <t>Mary Daly</t>
  </si>
  <si>
    <t>Group</t>
  </si>
  <si>
    <t>2026 Voters</t>
  </si>
  <si>
    <t>x</t>
  </si>
  <si>
    <t>Board of governors</t>
  </si>
  <si>
    <t>broad</t>
  </si>
  <si>
    <t>national statistics</t>
  </si>
  <si>
    <t>Inflation</t>
  </si>
  <si>
    <t>Core PCE</t>
  </si>
  <si>
    <t>Labor market</t>
  </si>
  <si>
    <t>Nonfarm payrolls</t>
  </si>
  <si>
    <t>Unemployment rate</t>
  </si>
  <si>
    <t>Economic activity</t>
  </si>
  <si>
    <t>Industrial production</t>
  </si>
  <si>
    <t>Financial conditions</t>
  </si>
  <si>
    <t>Treasury yields</t>
  </si>
  <si>
    <t>Corporate credit spreads</t>
  </si>
  <si>
    <t>Dollar strength</t>
  </si>
  <si>
    <t>Regional Fed presidents</t>
  </si>
  <si>
    <t>more nuanced view</t>
  </si>
  <si>
    <t>implement regional datapoints into decision making</t>
  </si>
  <si>
    <t>Analyze the "Beige Book"</t>
  </si>
  <si>
    <t>The goal:</t>
  </si>
  <si>
    <t>Predict the interest rate decision of the FED.</t>
  </si>
  <si>
    <t>Do not try to predict the macro data like, CPI, unemployment, etc. but rather try to analyze how the voters for that decision voted in the past, based on the information they had back then, compare macro economic situation from past with current one, try to predict how they will vote today</t>
  </si>
  <si>
    <t>January</t>
  </si>
  <si>
    <t>March</t>
  </si>
  <si>
    <t>April</t>
  </si>
  <si>
    <t>June</t>
  </si>
  <si>
    <t>July</t>
  </si>
  <si>
    <t>September</t>
  </si>
  <si>
    <t>December</t>
  </si>
  <si>
    <t>May</t>
  </si>
  <si>
    <t>November</t>
  </si>
  <si>
    <t>Ocotber</t>
  </si>
  <si>
    <t>Meeting</t>
  </si>
  <si>
    <t>Decision</t>
  </si>
  <si>
    <t>New Fund Rate</t>
  </si>
  <si>
    <t>hold</t>
  </si>
  <si>
    <t>increase</t>
  </si>
  <si>
    <t>February</t>
  </si>
  <si>
    <t>decrease</t>
  </si>
  <si>
    <t>https://www.federalreserve.gov/monetarypolicy/monetary-policy-strategy-tools-and-communications-statement-on-longer-run-goals-monetary-policy-strategy-2025.htm</t>
  </si>
  <si>
    <t xml:space="preserve"> </t>
  </si>
  <si>
    <t>https://www.federalreserve.gov/monetarypolicy/fomccalendars.htm</t>
  </si>
  <si>
    <t>Link to source</t>
  </si>
  <si>
    <t>https://www.minneapolisfed.org/region-and-community/regional-economic-indicators/beige-book-archive</t>
  </si>
  <si>
    <t>Change of CPE</t>
  </si>
  <si>
    <t>n.a.</t>
  </si>
  <si>
    <t>Change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</si>
  <si>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</si>
  <si>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</si>
  <si>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</si>
  <si>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</si>
  <si>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</si>
  <si>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</si>
  <si>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</si>
  <si>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</si>
  <si>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</si>
  <si>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</si>
  <si>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</si>
  <si>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</si>
  <si>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</si>
  <si>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</si>
  <si>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</si>
  <si>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</si>
  <si>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</si>
  <si>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</si>
  <si>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</si>
  <si>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</si>
  <si>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</si>
  <si>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</si>
  <si>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</si>
  <si>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</si>
  <si>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This is implemented in the Macro model</t>
  </si>
  <si>
    <t xml:space="preserve">This is going to be implemented in the Micro Model </t>
  </si>
  <si>
    <t>at a later point in time</t>
  </si>
  <si>
    <t>Inflation Expecation 1y</t>
  </si>
  <si>
    <t>Inflation expectation 1y</t>
  </si>
  <si>
    <t>October</t>
  </si>
  <si>
    <t>GDP</t>
  </si>
  <si>
    <t>YoY GDP growth</t>
  </si>
  <si>
    <t>After testing all variables, only the relevant ones are transferred to the Regression Model tab</t>
  </si>
  <si>
    <t>Regional Member</t>
  </si>
  <si>
    <t>New York</t>
  </si>
  <si>
    <t>Economic conditions</t>
  </si>
  <si>
    <t>Prices</t>
  </si>
  <si>
    <t>Economic Activity</t>
  </si>
  <si>
    <t>Philadelphia instead of Boston bc. Boston Chair resigned end of 2021 and Philadelphia covered until that position was filled in July 2022</t>
  </si>
  <si>
    <t>FFR change</t>
  </si>
  <si>
    <t>Vote for a change of</t>
  </si>
  <si>
    <t>the governors also dissent sometimes but it is not possible to determine why based on the beige books</t>
  </si>
  <si>
    <t>but here are the patterns and maybe you can find something from their publications or from a presentation</t>
  </si>
  <si>
    <r>
      <t xml:space="preserve">September 2024: wanted a </t>
    </r>
    <r>
      <rPr>
        <b/>
        <sz val="11"/>
        <color theme="1"/>
        <rFont val="Calibri"/>
        <family val="2"/>
        <scheme val="minor"/>
      </rPr>
      <t>smaller cut</t>
    </r>
    <r>
      <rPr>
        <sz val="11"/>
        <color theme="1"/>
        <rFont val="Calibri"/>
        <family val="2"/>
        <scheme val="minor"/>
      </rPr>
      <t xml:space="preserve"> than the committee (hawkish).</t>
    </r>
  </si>
  <si>
    <r>
      <t xml:space="preserve">July 2025: wanted a </t>
    </r>
    <r>
      <rPr>
        <b/>
        <sz val="11"/>
        <color theme="1"/>
        <rFont val="Calibri"/>
        <family val="2"/>
        <scheme val="minor"/>
      </rPr>
      <t>cut instead of a hold</t>
    </r>
    <r>
      <rPr>
        <sz val="11"/>
        <color theme="1"/>
        <rFont val="Calibri"/>
        <family val="2"/>
        <scheme val="minor"/>
      </rPr>
      <t xml:space="preserve"> (dovish).</t>
    </r>
  </si>
  <si>
    <t>She appears willing to dissent in either direction depending on her assessment.</t>
  </si>
  <si>
    <r>
      <t xml:space="preserve">Both dissents were </t>
    </r>
    <r>
      <rPr>
        <b/>
        <sz val="11"/>
        <color theme="1"/>
        <rFont val="Calibri"/>
        <family val="2"/>
        <scheme val="minor"/>
      </rPr>
      <t>dovish</t>
    </r>
    <r>
      <rPr>
        <sz val="11"/>
        <color theme="1"/>
        <rFont val="Calibri"/>
        <family val="2"/>
        <scheme val="minor"/>
      </rPr>
      <t xml:space="preserve"> (wanted cuts while the committee held).</t>
    </r>
  </si>
  <si>
    <t>Stephen Miran</t>
  </si>
  <si>
    <r>
      <t xml:space="preserve">Every recorded dissent was </t>
    </r>
    <r>
      <rPr>
        <b/>
        <sz val="11"/>
        <color theme="1"/>
        <rFont val="Calibri"/>
        <family val="2"/>
        <scheme val="minor"/>
      </rPr>
      <t>dovish</t>
    </r>
    <r>
      <rPr>
        <sz val="11"/>
        <color theme="1"/>
        <rFont val="Calibri"/>
        <family val="2"/>
        <scheme val="minor"/>
      </rPr>
      <t>.</t>
    </r>
  </si>
  <si>
    <r>
      <t xml:space="preserve">He consistently preferred </t>
    </r>
    <r>
      <rPr>
        <b/>
        <sz val="11"/>
        <color theme="1"/>
        <rFont val="Calibri"/>
        <family val="2"/>
        <scheme val="minor"/>
      </rPr>
      <t>more easing</t>
    </r>
    <r>
      <rPr>
        <sz val="11"/>
        <color theme="1"/>
        <rFont val="Calibri"/>
        <family val="2"/>
        <scheme val="minor"/>
      </rPr>
      <t xml:space="preserve"> than the committee:</t>
    </r>
  </si>
  <si>
    <r>
      <t xml:space="preserve">three times by </t>
    </r>
    <r>
      <rPr>
        <b/>
        <sz val="11"/>
        <color theme="1"/>
        <rFont val="Calibri"/>
        <family val="2"/>
        <scheme val="minor"/>
      </rPr>
      <t>50 bp instead of 25 bp</t>
    </r>
    <r>
      <rPr>
        <sz val="11"/>
        <color theme="1"/>
        <rFont val="Calibri"/>
        <family val="2"/>
        <scheme val="minor"/>
      </rPr>
      <t>,</t>
    </r>
  </si>
  <si>
    <r>
      <t xml:space="preserve">three times by </t>
    </r>
    <r>
      <rPr>
        <b/>
        <sz val="11"/>
        <color theme="1"/>
        <rFont val="Calibri"/>
        <family val="2"/>
        <scheme val="minor"/>
      </rPr>
      <t>25 bp instead of a hold</t>
    </r>
    <r>
      <rPr>
        <sz val="11"/>
        <color theme="1"/>
        <rFont val="Calibri"/>
        <family val="2"/>
        <scheme val="minor"/>
      </rPr>
      <t>.</t>
    </r>
  </si>
  <si>
    <t>for classification of micro model variables</t>
  </si>
  <si>
    <t>Score</t>
  </si>
  <si>
    <t>Interpretation</t>
  </si>
  <si>
    <t>Typical wording</t>
  </si>
  <si>
    <t>Strong increase / persistent upward pressure</t>
  </si>
  <si>
    <t>Moderate or slight increase</t>
  </si>
  <si>
    <t>Stable / little change</t>
  </si>
  <si>
    <t>−1</t>
  </si>
  <si>
    <t>Moderate decline</t>
  </si>
  <si>
    <t>−2</t>
  </si>
  <si>
    <t>Strong decline</t>
  </si>
  <si>
    <t>strong
robust
rapid
accelerated
surged
widespread
markedly
sharply
significant</t>
  </si>
  <si>
    <t>slightly
modestly
edged higher
continued to increase
picked up
expanded slightly</t>
  </si>
  <si>
    <t>stable
unchanged
flat
little changed
held steady</t>
  </si>
  <si>
    <t>declined slightly
softened
eased
slowed
weakened</t>
  </si>
  <si>
    <t>contracted sharply
fell substantially
deteriorated rapidly
severe decline</t>
  </si>
  <si>
    <t>Employment</t>
  </si>
  <si>
    <t>https://www.minneapolisfed.org/beige-book-reports/2026/2026-01-su</t>
  </si>
  <si>
    <t>NA</t>
  </si>
  <si>
    <t>https://www.minneapolisfed.org/beige-book-reports/2026/2026-03-su</t>
  </si>
  <si>
    <t>https://www.minneapolisfed.org/beige-book-reports/2025/2025-01-su</t>
  </si>
  <si>
    <t>https://www.minneapolisfed.org/beige-book-reports/2025/2025-03-su</t>
  </si>
  <si>
    <t>https://www.minneapolisfed.org/beige-book-reports/2025/2025-04-su</t>
  </si>
  <si>
    <t>https://www.minneapolisfed.org/beige-book-reports/2025/2025-06-su</t>
  </si>
  <si>
    <t>https://www.minneapolisfed.org/beige-book-reports/2025/2025-07-su</t>
  </si>
  <si>
    <t>https://www.minneapolisfed.org/beige-book-reports/2025/2025-09-su</t>
  </si>
  <si>
    <t>https://www.minneapolisfed.org/beige-book-reports/2025/2025-10-su</t>
  </si>
  <si>
    <t>https://www.minneapolisfed.org/beige-book-reports/2025/2025-11-su</t>
  </si>
  <si>
    <t>https://www.minneapolisfed.org/beige-book-reports/2024/2024-01-su</t>
  </si>
  <si>
    <t>https://www.minneapolisfed.org/beige-book-reports/2024/2024-03-su</t>
  </si>
  <si>
    <t>https://www.minneapolisfed.org/beige-book-reports/2024/2024-04-su</t>
  </si>
  <si>
    <t>https://www.minneapolisfed.org/beige-book-reports/2024/2024-05-su</t>
  </si>
  <si>
    <t>https://www.minneapolisfed.org/beige-book-reports/2024/2024-07-su</t>
  </si>
  <si>
    <t>https://www.minneapolisfed.org/beige-book-reports/2024/2024-09-su</t>
  </si>
  <si>
    <t>https://www.minneapolisfed.org/beige-book-reports/2024/2024-10-su</t>
  </si>
  <si>
    <t>https://www.minneapolisfed.org/beige-book-reports/2024/2024-12-su</t>
  </si>
  <si>
    <t>https://www.minneapolisfed.org/beige-book-reports/2023/2023-01-su</t>
  </si>
  <si>
    <t>https://www.minneapolisfed.org/beige-book-reports/2023/2023-03-su</t>
  </si>
  <si>
    <t>https://www.minneapolisfed.org/beige-book-reports/2023/2023-04-su</t>
  </si>
  <si>
    <t>https://www.minneapolisfed.org/beige-book-reports/2023/2023-05-su</t>
  </si>
  <si>
    <t>https://www.minneapolisfed.org/beige-book-reports/2023/2023-07-su</t>
  </si>
  <si>
    <t>https://www.minneapolisfed.org/beige-book-reports/2023/2023-09-su</t>
  </si>
  <si>
    <t>https://www.minneapolisfed.org/beige-book-reports/2023/2023-10-su</t>
  </si>
  <si>
    <t>https://www.minneapolisfed.org/beige-book-reports/2023/2023-11-su</t>
  </si>
  <si>
    <t>https://www.minneapolisfed.org/beige-book-reports/2022/2022-11-su</t>
  </si>
  <si>
    <t>https://www.minneapolisfed.org/beige-book-reports/2022/2022-10-su</t>
  </si>
  <si>
    <t>https://www.minneapolisfed.org/beige-book-reports/2022/2022-09-su</t>
  </si>
  <si>
    <t>https://www.minneapolisfed.org/beige-book-reports/2022/2022-07-su</t>
  </si>
  <si>
    <t>https://www.minneapolisfed.org/beige-book-reports/2022/2022-06-su</t>
  </si>
  <si>
    <t>https://www.minneapolisfed.org/beige-book-reports/2022/2022-04-su</t>
  </si>
  <si>
    <t>https://www.minneapolisfed.org/beige-book-reports/2022/2022-03-su</t>
  </si>
  <si>
    <t>https://www.minneapolisfed.org/beige-book-reports/2022/2022-01-su</t>
  </si>
  <si>
    <t>next step: fix the NA</t>
  </si>
  <si>
    <t>Regio0l Member</t>
  </si>
  <si>
    <t>here I simply replaced all "NA" with 0 but that's obviously wrong</t>
  </si>
  <si>
    <t>based on tampered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</si>
</sst>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theme="1"/>
      <name val="Calibri"/>
      <family val="2"/>
      <scheme val="minor"/>
    </font>
    <font>
      <b/>
      <sz val="13.5"/>
      <color theme="1"/>
      <name val="Calibri"/>
      <family val="2"/>
      <scheme val="minor"/>
    </font>
    <font>
      <sz val="11"/>
      <color theme="1"/>
      <name val="Calibri"/>
      <family val="2"/>
      <scheme val="minor"/>
    </font>
    <font>
      <u/>
      <sz val="11"/>
      <color theme="10"/>
      <name val="Calibri"/>
      <family val="2"/>
      <scheme val="minor"/>
    </font>
    <font>
      <sz val="9"/>
      <color indexed="81"/>
      <name val="Tahoma"/>
      <charset val="1"/>
    </font>
    <font>
      <b/>
      <sz val="9"/>
      <color indexed="81"/>
      <name val="Tahoma"/>
      <charset val="1"/>
    </font>
    <font>
      <i/>
      <sz val="11"/>
      <color theme="1"/>
      <name val="Calibri"/>
      <family val="2"/>
      <scheme val="minor"/>
    </font>
    <font>
      <sz val="10"/>
      <color rgb="FF000000"/>
      <name val="Tahoma"/>
      <family val="2"/>
    </font>
    <font>
      <sz val="11"/>
      <name val="Calibri"/>
      <family val="2"/>
      <scheme val="minor"/>
    </font>
    <font>
      <b/>
      <sz val="14"/>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EEF4FF"/>
        <bgColor indexed="64"/>
      </patternFill>
    </fill>
    <fill>
      <patternFill patternType="solid">
        <fgColor rgb="FFFFFF00"/>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medium">
        <color rgb="FFAAAAAA"/>
      </left>
      <right style="medium">
        <color rgb="FFAAAAAA"/>
      </right>
      <top style="medium">
        <color rgb="FFAAAAAA"/>
      </top>
      <bottom style="medium">
        <color rgb="FFAAAAAA"/>
      </bottom>
      <diagonal/>
    </border>
  </borders>
  <cellStyleXfs count="3">
    <xf numFmtId="0" fontId="0" fillId="0" borderId="0"/>
    <xf numFmtId="9" fontId="3" fillId="0" borderId="0" applyFont="0" applyFill="0" applyBorder="0" applyAlignment="0" applyProtection="0"/>
    <xf numFmtId="0" fontId="4" fillId="0" borderId="0" applyNumberFormat="0" applyFill="0" applyBorder="0" applyAlignment="0" applyProtection="0"/>
  </cellStyleXfs>
  <cellXfs count="44">
    <xf numFmtId="0" fontId="0" fillId="0" borderId="0" xfId="0"/>
    <xf numFmtId="0" fontId="0" fillId="0" borderId="0" xfId="0" applyAlignment="1">
      <alignment vertical="center" wrapText="1"/>
    </xf>
    <xf numFmtId="0" fontId="0" fillId="0" borderId="0" xfId="0" applyAlignment="1">
      <alignment vertical="center"/>
    </xf>
    <xf numFmtId="0" fontId="1" fillId="0" borderId="0" xfId="0" applyFont="1" applyAlignment="1">
      <alignment horizontal="center" vertical="center"/>
    </xf>
    <xf numFmtId="0" fontId="1" fillId="0" borderId="0" xfId="0" applyFont="1"/>
    <xf numFmtId="0" fontId="0" fillId="0" borderId="0" xfId="0" applyAlignment="1">
      <alignment horizontal="center"/>
    </xf>
    <xf numFmtId="0" fontId="2" fillId="0" borderId="0" xfId="0" applyFont="1" applyAlignment="1">
      <alignment vertical="center"/>
    </xf>
    <xf numFmtId="0" fontId="0" fillId="0" borderId="0" xfId="0" applyAlignment="1">
      <alignment horizontal="left" vertical="center"/>
    </xf>
    <xf numFmtId="2" fontId="0" fillId="0" borderId="0" xfId="0" applyNumberFormat="1"/>
    <xf numFmtId="14" fontId="0" fillId="0" borderId="0" xfId="0" applyNumberFormat="1"/>
    <xf numFmtId="10" fontId="0" fillId="0" borderId="0" xfId="0" applyNumberFormat="1"/>
    <xf numFmtId="9" fontId="0" fillId="0" borderId="0" xfId="0" applyNumberFormat="1"/>
    <xf numFmtId="0" fontId="4" fillId="0" borderId="0" xfId="2" applyAlignment="1">
      <alignment horizontal="left" vertical="center"/>
    </xf>
    <xf numFmtId="10" fontId="0" fillId="0" borderId="0" xfId="1" applyNumberFormat="1" applyFont="1"/>
    <xf numFmtId="164" fontId="0" fillId="0" borderId="0" xfId="1" applyNumberFormat="1" applyFont="1"/>
    <xf numFmtId="0" fontId="0" fillId="0" borderId="1" xfId="0" applyBorder="1"/>
    <xf numFmtId="0" fontId="7" fillId="0" borderId="2" xfId="0" applyFont="1" applyBorder="1" applyAlignment="1">
      <alignment horizontal="center"/>
    </xf>
    <xf numFmtId="0" fontId="7" fillId="0" borderId="2" xfId="0" applyFont="1" applyBorder="1" applyAlignment="1">
      <alignment horizontal="centerContinuous"/>
    </xf>
    <xf numFmtId="0" fontId="4" fillId="0" borderId="0" xfId="2"/>
    <xf numFmtId="0" fontId="8" fillId="2" borderId="3" xfId="0" applyFont="1" applyFill="1" applyBorder="1" applyAlignment="1">
      <alignment horizontal="right" vertical="center" wrapText="1"/>
    </xf>
    <xf numFmtId="0" fontId="8" fillId="3" borderId="3" xfId="0" applyFont="1" applyFill="1" applyBorder="1" applyAlignment="1">
      <alignment horizontal="right" vertical="center" wrapText="1"/>
    </xf>
    <xf numFmtId="10" fontId="8" fillId="3" borderId="3" xfId="1" applyNumberFormat="1" applyFont="1" applyFill="1" applyBorder="1" applyAlignment="1">
      <alignment horizontal="right" vertical="center" wrapText="1"/>
    </xf>
    <xf numFmtId="10" fontId="8" fillId="2" borderId="3" xfId="1" applyNumberFormat="1" applyFont="1" applyFill="1" applyBorder="1" applyAlignment="1">
      <alignment horizontal="right" vertical="center" wrapText="1"/>
    </xf>
    <xf numFmtId="0" fontId="0" fillId="0" borderId="0" xfId="0" applyFill="1" applyBorder="1" applyAlignment="1"/>
    <xf numFmtId="0" fontId="0" fillId="0" borderId="1" xfId="0" applyFill="1" applyBorder="1" applyAlignment="1"/>
    <xf numFmtId="0" fontId="7" fillId="0" borderId="2" xfId="0" applyFont="1" applyFill="1" applyBorder="1" applyAlignment="1">
      <alignment horizontal="center"/>
    </xf>
    <xf numFmtId="0" fontId="7" fillId="0" borderId="2" xfId="0" applyFont="1" applyFill="1" applyBorder="1" applyAlignment="1">
      <alignment horizontal="centerContinuous"/>
    </xf>
    <xf numFmtId="0" fontId="8" fillId="2" borderId="3" xfId="0" applyFont="1" applyFill="1" applyBorder="1" applyAlignment="1">
      <alignment horizontal="right" vertical="center"/>
    </xf>
    <xf numFmtId="0" fontId="0" fillId="0" borderId="0" xfId="0"/>
    <xf numFmtId="0" fontId="0" fillId="0" borderId="0" xfId="0" applyAlignment="1"/>
    <xf numFmtId="0" fontId="8" fillId="3" borderId="3" xfId="0" applyFont="1" applyFill="1" applyBorder="1" applyAlignment="1">
      <alignment horizontal="right" vertical="center"/>
    </xf>
    <xf numFmtId="0" fontId="4" fillId="0" borderId="0" xfId="2" applyAlignment="1"/>
    <xf numFmtId="0" fontId="0" fillId="0" borderId="0" xfId="0" applyFont="1"/>
    <xf numFmtId="0" fontId="9" fillId="0" borderId="0" xfId="0" applyFont="1" applyBorder="1"/>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horizontal="right" vertical="center"/>
    </xf>
    <xf numFmtId="0" fontId="0" fillId="0" borderId="0" xfId="0" applyAlignment="1">
      <alignment horizontal="center" vertical="center"/>
    </xf>
    <xf numFmtId="0" fontId="10" fillId="0" borderId="0" xfId="0" applyFont="1" applyAlignment="1"/>
    <xf numFmtId="0" fontId="0" fillId="0" borderId="0" xfId="0" applyFill="1" applyBorder="1"/>
    <xf numFmtId="0" fontId="0" fillId="0" borderId="0" xfId="0" applyFont="1" applyAlignment="1">
      <alignment vertical="center" wrapText="1"/>
    </xf>
    <xf numFmtId="0" fontId="0" fillId="0" borderId="0" xfId="0" applyFont="1" applyFill="1" applyBorder="1"/>
    <xf numFmtId="0" fontId="0" fillId="4" borderId="0" xfId="0" applyFill="1" applyAlignment="1"/>
    <xf numFmtId="0" fontId="0" fillId="0" borderId="0" xfId="0" applyFill="1" applyAlignme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www.federalreserve.gov/monetarypolicy/fomccalendars.ht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bls.gov/charts/employment-situation/civilian-unemployment-rate.htm" TargetMode="External"/><Relationship Id="rId2" Type="http://schemas.openxmlformats.org/officeDocument/2006/relationships/hyperlink" Target="https://www.clevelandfed.org/indicators-and-data/inflation-expectations" TargetMode="External"/><Relationship Id="rId1" Type="http://schemas.openxmlformats.org/officeDocument/2006/relationships/hyperlink" Target="https://fred.stlouisfed.org/series/PCEPILFE"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fred.stlouisfed.org/series/DGS1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tlouisfed.org/-/media/project/frbstl/stlouisfed/files/excel/open-vault/openvaultblog_fomc-voting-rotation_final.xlsx?sc_lang=en&amp;hash=C52D36C3806C7D4CA1945D54C76D7816"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tlouisfed.org/-/media/project/frbstl/stlouisfed/files/excel/open-vault/openvaultblog_fomc-voting-rotation_final.xlsx?sc_lang=en&amp;hash=C52D36C3806C7D4CA1945D54C76D78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AD4EB-7755-499C-AF51-44FE31ACE29B}">
  <sheetPr>
    <tabColor theme="8" tint="0.79998168889431442"/>
  </sheetPr>
  <dimension ref="B2:O37"/>
  <sheetViews>
    <sheetView workbookViewId="0">
      <selection activeCell="O13" sqref="O13:O31"/>
    </sheetView>
  </sheetViews>
  <sheetFormatPr defaultRowHeight="15" x14ac:dyDescent="0.25"/>
  <cols>
    <col min="3" max="3" width="13.28515625" customWidth="1"/>
    <col min="4" max="4" width="16.42578125" bestFit="1" customWidth="1"/>
  </cols>
  <sheetData>
    <row r="2" spans="2:15" x14ac:dyDescent="0.25">
      <c r="B2" t="s">
        <v>0</v>
      </c>
      <c r="C2" t="s">
        <v>1</v>
      </c>
    </row>
    <row r="3" spans="2:15" x14ac:dyDescent="0.25">
      <c r="B3">
        <v>7</v>
      </c>
      <c r="C3" t="s">
        <v>2</v>
      </c>
    </row>
    <row r="4" spans="2:15" x14ac:dyDescent="0.25">
      <c r="B4">
        <v>1</v>
      </c>
      <c r="C4" t="s">
        <v>3</v>
      </c>
    </row>
    <row r="5" spans="2:15" x14ac:dyDescent="0.25">
      <c r="B5">
        <v>4</v>
      </c>
      <c r="C5" t="s">
        <v>4</v>
      </c>
    </row>
    <row r="6" spans="2:15" x14ac:dyDescent="0.25">
      <c r="B6">
        <v>12</v>
      </c>
      <c r="C6" t="s">
        <v>5</v>
      </c>
    </row>
    <row r="9" spans="2:15" x14ac:dyDescent="0.25">
      <c r="B9" t="s">
        <v>62</v>
      </c>
      <c r="C9" t="s">
        <v>63</v>
      </c>
    </row>
    <row r="10" spans="2:15" x14ac:dyDescent="0.25">
      <c r="C10" t="s">
        <v>64</v>
      </c>
    </row>
    <row r="13" spans="2:15" x14ac:dyDescent="0.25">
      <c r="B13" t="s">
        <v>6</v>
      </c>
      <c r="O13" t="s">
        <v>131</v>
      </c>
    </row>
    <row r="14" spans="2:15" x14ac:dyDescent="0.25">
      <c r="C14" s="2" t="s">
        <v>7</v>
      </c>
      <c r="D14" s="1"/>
      <c r="E14" s="1"/>
      <c r="O14" t="s">
        <v>132</v>
      </c>
    </row>
    <row r="15" spans="2:15" x14ac:dyDescent="0.25">
      <c r="C15" s="2" t="s">
        <v>8</v>
      </c>
      <c r="D15" s="1"/>
      <c r="E15" s="1"/>
    </row>
    <row r="16" spans="2:15" x14ac:dyDescent="0.25">
      <c r="C16" s="2" t="s">
        <v>9</v>
      </c>
      <c r="D16" s="1"/>
      <c r="E16" s="1"/>
      <c r="O16" s="4" t="s">
        <v>9</v>
      </c>
    </row>
    <row r="17" spans="2:15" x14ac:dyDescent="0.25">
      <c r="C17" s="2" t="s">
        <v>10</v>
      </c>
      <c r="D17" s="1"/>
      <c r="E17" s="1"/>
      <c r="O17" s="34"/>
    </row>
    <row r="18" spans="2:15" x14ac:dyDescent="0.25">
      <c r="C18" s="2" t="s">
        <v>11</v>
      </c>
      <c r="D18" s="1"/>
      <c r="E18" s="1"/>
      <c r="O18" s="34" t="s">
        <v>133</v>
      </c>
    </row>
    <row r="19" spans="2:15" x14ac:dyDescent="0.25">
      <c r="C19" s="2" t="s">
        <v>12</v>
      </c>
      <c r="D19" s="1"/>
      <c r="E19" s="1"/>
      <c r="O19" s="34" t="s">
        <v>134</v>
      </c>
    </row>
    <row r="20" spans="2:15" x14ac:dyDescent="0.25">
      <c r="C20" s="2" t="s">
        <v>13</v>
      </c>
      <c r="D20" s="1"/>
      <c r="E20" s="1"/>
      <c r="O20" s="34" t="s">
        <v>135</v>
      </c>
    </row>
    <row r="22" spans="2:15" x14ac:dyDescent="0.25">
      <c r="B22" t="s">
        <v>14</v>
      </c>
      <c r="O22" s="4" t="s">
        <v>13</v>
      </c>
    </row>
    <row r="23" spans="2:15" x14ac:dyDescent="0.25">
      <c r="C23" s="2" t="s">
        <v>15</v>
      </c>
      <c r="O23" s="34"/>
    </row>
    <row r="24" spans="2:15" x14ac:dyDescent="0.25">
      <c r="O24" s="34" t="s">
        <v>136</v>
      </c>
    </row>
    <row r="25" spans="2:15" x14ac:dyDescent="0.25">
      <c r="B25" t="s">
        <v>16</v>
      </c>
    </row>
    <row r="26" spans="2:15" x14ac:dyDescent="0.25">
      <c r="C26" s="3" t="s">
        <v>17</v>
      </c>
      <c r="D26" s="3" t="s">
        <v>18</v>
      </c>
      <c r="E26" s="4" t="s">
        <v>41</v>
      </c>
      <c r="F26" t="s">
        <v>42</v>
      </c>
      <c r="O26" s="4" t="s">
        <v>137</v>
      </c>
    </row>
    <row r="27" spans="2:15" x14ac:dyDescent="0.25">
      <c r="C27" s="2" t="s">
        <v>19</v>
      </c>
      <c r="D27" s="2" t="s">
        <v>20</v>
      </c>
      <c r="E27">
        <v>1</v>
      </c>
      <c r="F27" s="5" t="s">
        <v>43</v>
      </c>
      <c r="O27" s="34"/>
    </row>
    <row r="28" spans="2:15" x14ac:dyDescent="0.25">
      <c r="C28" s="2" t="s">
        <v>21</v>
      </c>
      <c r="D28" s="2" t="s">
        <v>22</v>
      </c>
      <c r="E28">
        <v>1</v>
      </c>
      <c r="F28" s="5"/>
      <c r="O28" s="34" t="s">
        <v>138</v>
      </c>
    </row>
    <row r="29" spans="2:15" x14ac:dyDescent="0.25">
      <c r="C29" s="2" t="s">
        <v>23</v>
      </c>
      <c r="D29" s="2" t="s">
        <v>24</v>
      </c>
      <c r="E29">
        <v>2</v>
      </c>
      <c r="F29" s="5" t="s">
        <v>43</v>
      </c>
      <c r="O29" s="34" t="s">
        <v>139</v>
      </c>
    </row>
    <row r="30" spans="2:15" x14ac:dyDescent="0.25">
      <c r="C30" s="2" t="s">
        <v>25</v>
      </c>
      <c r="D30" s="2" t="s">
        <v>26</v>
      </c>
      <c r="E30">
        <v>1</v>
      </c>
      <c r="F30" s="5"/>
      <c r="O30" s="35" t="s">
        <v>140</v>
      </c>
    </row>
    <row r="31" spans="2:15" x14ac:dyDescent="0.25">
      <c r="C31" s="2" t="s">
        <v>27</v>
      </c>
      <c r="D31" s="2" t="s">
        <v>28</v>
      </c>
      <c r="E31">
        <v>3</v>
      </c>
      <c r="F31" s="5" t="s">
        <v>43</v>
      </c>
      <c r="O31" s="35" t="s">
        <v>141</v>
      </c>
    </row>
    <row r="32" spans="2:15" x14ac:dyDescent="0.25">
      <c r="C32" s="2" t="s">
        <v>29</v>
      </c>
      <c r="D32" s="2" t="s">
        <v>30</v>
      </c>
      <c r="E32">
        <v>2</v>
      </c>
      <c r="F32" s="5"/>
    </row>
    <row r="33" spans="3:6" x14ac:dyDescent="0.25">
      <c r="C33" s="2" t="s">
        <v>31</v>
      </c>
      <c r="D33" s="2" t="s">
        <v>32</v>
      </c>
      <c r="E33">
        <v>3</v>
      </c>
      <c r="F33" s="5"/>
    </row>
    <row r="34" spans="3:6" x14ac:dyDescent="0.25">
      <c r="C34" s="2" t="s">
        <v>33</v>
      </c>
      <c r="D34" s="2" t="s">
        <v>34</v>
      </c>
      <c r="E34">
        <v>4</v>
      </c>
      <c r="F34" s="5" t="s">
        <v>43</v>
      </c>
    </row>
    <row r="35" spans="3:6" x14ac:dyDescent="0.25">
      <c r="C35" s="2" t="s">
        <v>35</v>
      </c>
      <c r="D35" s="2" t="s">
        <v>36</v>
      </c>
      <c r="E35">
        <v>4</v>
      </c>
      <c r="F35" s="5"/>
    </row>
    <row r="36" spans="3:6" x14ac:dyDescent="0.25">
      <c r="C36" s="2" t="s">
        <v>37</v>
      </c>
      <c r="D36" s="2" t="s">
        <v>38</v>
      </c>
      <c r="E36">
        <v>3</v>
      </c>
      <c r="F36" s="5"/>
    </row>
    <row r="37" spans="3:6" x14ac:dyDescent="0.25">
      <c r="C37" s="2" t="s">
        <v>39</v>
      </c>
      <c r="D37" s="2" t="s">
        <v>40</v>
      </c>
      <c r="E37">
        <v>4</v>
      </c>
      <c r="F37"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3EE0-EB53-4F09-8D32-C3DB311D1FCA}">
  <sheetPr>
    <tabColor theme="8" tint="0.79998168889431442"/>
  </sheetPr>
  <dimension ref="B3:I40"/>
  <sheetViews>
    <sheetView workbookViewId="0">
      <selection activeCell="I9" sqref="I9"/>
    </sheetView>
  </sheetViews>
  <sheetFormatPr defaultRowHeight="15" x14ac:dyDescent="0.25"/>
  <sheetData>
    <row r="3" spans="2:9" x14ac:dyDescent="0.25">
      <c r="B3" s="4" t="s">
        <v>44</v>
      </c>
      <c r="H3" s="4" t="s">
        <v>58</v>
      </c>
    </row>
    <row r="4" spans="2:9" x14ac:dyDescent="0.25">
      <c r="C4" t="s">
        <v>45</v>
      </c>
      <c r="I4" t="s">
        <v>59</v>
      </c>
    </row>
    <row r="5" spans="2:9" x14ac:dyDescent="0.25">
      <c r="C5" t="s">
        <v>46</v>
      </c>
      <c r="I5" t="s">
        <v>60</v>
      </c>
    </row>
    <row r="6" spans="2:9" x14ac:dyDescent="0.25">
      <c r="C6" t="s">
        <v>82</v>
      </c>
      <c r="E6" t="s">
        <v>83</v>
      </c>
    </row>
    <row r="8" spans="2:9" ht="18" x14ac:dyDescent="0.25">
      <c r="C8" s="6"/>
      <c r="I8" t="s">
        <v>61</v>
      </c>
    </row>
    <row r="9" spans="2:9" x14ac:dyDescent="0.25">
      <c r="C9" s="7" t="s">
        <v>114</v>
      </c>
      <c r="I9" t="s">
        <v>86</v>
      </c>
    </row>
    <row r="10" spans="2:9" x14ac:dyDescent="0.25">
      <c r="C10" s="7"/>
    </row>
    <row r="12" spans="2:9" x14ac:dyDescent="0.25">
      <c r="C12" s="7"/>
    </row>
    <row r="13" spans="2:9" x14ac:dyDescent="0.25">
      <c r="C13" s="7"/>
      <c r="I13" t="s">
        <v>115</v>
      </c>
    </row>
    <row r="14" spans="2:9" x14ac:dyDescent="0.25">
      <c r="C14" s="7"/>
      <c r="I14" t="s">
        <v>116</v>
      </c>
    </row>
    <row r="15" spans="2:9" x14ac:dyDescent="0.25">
      <c r="C15" s="7"/>
    </row>
    <row r="16" spans="2:9" x14ac:dyDescent="0.25">
      <c r="C16" s="7"/>
    </row>
    <row r="17" spans="3:3" x14ac:dyDescent="0.25">
      <c r="C17" s="7"/>
    </row>
    <row r="19" spans="3:3" ht="18" x14ac:dyDescent="0.25">
      <c r="C19" s="6"/>
    </row>
    <row r="20" spans="3:3" x14ac:dyDescent="0.25">
      <c r="C20" s="7"/>
    </row>
    <row r="21" spans="3:3" x14ac:dyDescent="0.25">
      <c r="C21" s="7"/>
    </row>
    <row r="22" spans="3:3" x14ac:dyDescent="0.25">
      <c r="C22" s="7"/>
    </row>
    <row r="23" spans="3:3" x14ac:dyDescent="0.25">
      <c r="C23" s="7"/>
    </row>
    <row r="24" spans="3:3" x14ac:dyDescent="0.25">
      <c r="C24" s="7"/>
    </row>
    <row r="25" spans="3:3" x14ac:dyDescent="0.25">
      <c r="C25" s="7"/>
    </row>
    <row r="27" spans="3:3" ht="18" x14ac:dyDescent="0.25">
      <c r="C27" s="6"/>
    </row>
    <row r="28" spans="3:3" x14ac:dyDescent="0.25">
      <c r="C28" s="7"/>
    </row>
    <row r="29" spans="3:3" x14ac:dyDescent="0.25">
      <c r="C29" s="7"/>
    </row>
    <row r="30" spans="3:3" x14ac:dyDescent="0.25">
      <c r="C30" s="7"/>
    </row>
    <row r="31" spans="3:3" x14ac:dyDescent="0.25">
      <c r="C31" s="7"/>
    </row>
    <row r="32" spans="3:3" x14ac:dyDescent="0.25">
      <c r="C32" s="7"/>
    </row>
    <row r="34" spans="3:3" ht="18" x14ac:dyDescent="0.25">
      <c r="C34" s="6"/>
    </row>
    <row r="35" spans="3:3" x14ac:dyDescent="0.25">
      <c r="C35" s="7"/>
    </row>
    <row r="36" spans="3:3" x14ac:dyDescent="0.25">
      <c r="C36" s="7"/>
    </row>
    <row r="37" spans="3:3" x14ac:dyDescent="0.25">
      <c r="C37" s="7"/>
    </row>
    <row r="38" spans="3:3" x14ac:dyDescent="0.25">
      <c r="C38" s="7"/>
    </row>
    <row r="39" spans="3:3" x14ac:dyDescent="0.25">
      <c r="C39" s="7"/>
    </row>
    <row r="40" spans="3:3" x14ac:dyDescent="0.25">
      <c r="C4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2E07-AE92-4D86-A652-AF5108B4DD0C}">
  <sheetPr>
    <tabColor theme="8" tint="-0.249977111117893"/>
  </sheetPr>
  <dimension ref="A1"/>
  <sheetViews>
    <sheetView workbookViewId="0">
      <selection activeCell="I29" sqref="I29"/>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501D9-8E9D-4089-9500-4DAA1DBF7336}">
  <sheetPr>
    <tabColor theme="8" tint="0.79998168889431442"/>
  </sheetPr>
  <dimension ref="A1:I20"/>
  <sheetViews>
    <sheetView zoomScale="108" workbookViewId="0">
      <selection activeCell="E30" sqref="E30"/>
    </sheetView>
  </sheetViews>
  <sheetFormatPr defaultRowHeight="15" x14ac:dyDescent="0.25"/>
  <cols>
    <col min="1" max="1" width="21.5703125" bestFit="1" customWidth="1"/>
    <col min="2" max="2" width="12.7109375" bestFit="1" customWidth="1"/>
    <col min="3" max="3" width="14.5703125" bestFit="1" customWidth="1"/>
    <col min="4" max="4" width="12.7109375" bestFit="1" customWidth="1"/>
    <col min="5" max="5" width="12" bestFit="1" customWidth="1"/>
    <col min="6" max="6" width="13.42578125" bestFit="1" customWidth="1"/>
    <col min="7" max="9" width="12.7109375" bestFit="1" customWidth="1"/>
  </cols>
  <sheetData>
    <row r="1" spans="1:9" x14ac:dyDescent="0.25">
      <c r="A1" t="s">
        <v>90</v>
      </c>
    </row>
    <row r="2" spans="1:9" ht="15.75" thickBot="1" x14ac:dyDescent="0.3"/>
    <row r="3" spans="1:9" x14ac:dyDescent="0.25">
      <c r="A3" s="17" t="s">
        <v>91</v>
      </c>
      <c r="B3" s="17"/>
    </row>
    <row r="4" spans="1:9" x14ac:dyDescent="0.25">
      <c r="A4" t="s">
        <v>92</v>
      </c>
      <c r="B4">
        <v>0.88888851784331635</v>
      </c>
    </row>
    <row r="5" spans="1:9" x14ac:dyDescent="0.25">
      <c r="A5" t="s">
        <v>93</v>
      </c>
      <c r="B5">
        <v>0.79012279715368772</v>
      </c>
    </row>
    <row r="6" spans="1:9" x14ac:dyDescent="0.25">
      <c r="A6" t="s">
        <v>94</v>
      </c>
      <c r="B6">
        <v>0.76981210010404455</v>
      </c>
    </row>
    <row r="7" spans="1:9" x14ac:dyDescent="0.25">
      <c r="A7" t="s">
        <v>95</v>
      </c>
      <c r="B7">
        <v>1.4890436845794821E-3</v>
      </c>
    </row>
    <row r="8" spans="1:9" ht="15.75" thickBot="1" x14ac:dyDescent="0.3">
      <c r="A8" s="15" t="s">
        <v>96</v>
      </c>
      <c r="B8" s="15">
        <v>35</v>
      </c>
    </row>
    <row r="10" spans="1:9" ht="15.75" thickBot="1" x14ac:dyDescent="0.3">
      <c r="A10" t="s">
        <v>97</v>
      </c>
    </row>
    <row r="11" spans="1:9" x14ac:dyDescent="0.25">
      <c r="A11" s="16"/>
      <c r="B11" s="16" t="s">
        <v>102</v>
      </c>
      <c r="C11" s="16" t="s">
        <v>103</v>
      </c>
      <c r="D11" s="16" t="s">
        <v>104</v>
      </c>
      <c r="E11" s="16" t="s">
        <v>105</v>
      </c>
      <c r="F11" s="16" t="s">
        <v>106</v>
      </c>
    </row>
    <row r="12" spans="1:9" x14ac:dyDescent="0.25">
      <c r="A12" t="s">
        <v>98</v>
      </c>
      <c r="B12">
        <v>3</v>
      </c>
      <c r="C12">
        <v>2.5876521606783278E-4</v>
      </c>
      <c r="D12">
        <v>8.6255072022610932E-5</v>
      </c>
      <c r="E12">
        <v>38.901806039570239</v>
      </c>
      <c r="F12">
        <v>1.2608759388642443E-10</v>
      </c>
    </row>
    <row r="13" spans="1:9" x14ac:dyDescent="0.25">
      <c r="A13" t="s">
        <v>99</v>
      </c>
      <c r="B13">
        <v>31</v>
      </c>
      <c r="C13">
        <v>6.8734783932167238E-5</v>
      </c>
      <c r="D13">
        <v>2.2172510945860398E-6</v>
      </c>
    </row>
    <row r="14" spans="1:9" ht="15.75" thickBot="1" x14ac:dyDescent="0.3">
      <c r="A14" s="15" t="s">
        <v>100</v>
      </c>
      <c r="B14" s="15">
        <v>34</v>
      </c>
      <c r="C14" s="15">
        <v>3.2749999999999999E-4</v>
      </c>
      <c r="D14" s="15"/>
      <c r="E14" s="15"/>
      <c r="F14" s="15"/>
    </row>
    <row r="15" spans="1:9" ht="15.75" thickBot="1" x14ac:dyDescent="0.3"/>
    <row r="16" spans="1:9" x14ac:dyDescent="0.25">
      <c r="A16" s="16"/>
      <c r="B16" s="16" t="s">
        <v>107</v>
      </c>
      <c r="C16" s="16" t="s">
        <v>95</v>
      </c>
      <c r="D16" s="16" t="s">
        <v>108</v>
      </c>
      <c r="E16" s="16" t="s">
        <v>109</v>
      </c>
      <c r="F16" s="16" t="s">
        <v>110</v>
      </c>
      <c r="G16" s="16" t="s">
        <v>111</v>
      </c>
      <c r="H16" s="16" t="s">
        <v>112</v>
      </c>
      <c r="I16" s="16" t="s">
        <v>113</v>
      </c>
    </row>
    <row r="17" spans="1:9" x14ac:dyDescent="0.25">
      <c r="A17" t="s">
        <v>101</v>
      </c>
      <c r="B17">
        <v>7.291688516014163E-3</v>
      </c>
      <c r="C17">
        <v>6.0876944476175926E-3</v>
      </c>
      <c r="D17">
        <v>1.1977750491185954</v>
      </c>
      <c r="E17">
        <v>0.24008283951645432</v>
      </c>
      <c r="F17">
        <v>-5.1242461674546724E-3</v>
      </c>
      <c r="G17">
        <v>1.9707623199483E-2</v>
      </c>
      <c r="H17">
        <v>-5.1242461674546724E-3</v>
      </c>
      <c r="I17">
        <v>1.9707623199483E-2</v>
      </c>
    </row>
    <row r="18" spans="1:9" x14ac:dyDescent="0.25">
      <c r="A18" t="s">
        <v>87</v>
      </c>
      <c r="B18">
        <v>9.2624464504191623E-2</v>
      </c>
      <c r="C18">
        <v>3.9199026439943246E-2</v>
      </c>
      <c r="D18">
        <v>2.362927677453964</v>
      </c>
      <c r="E18">
        <v>2.4585215871074637E-2</v>
      </c>
      <c r="F18">
        <v>1.2677522994279045E-2</v>
      </c>
      <c r="G18">
        <v>0.1725714060141042</v>
      </c>
      <c r="H18">
        <v>1.2677522994279045E-2</v>
      </c>
      <c r="I18">
        <v>0.1725714060141042</v>
      </c>
    </row>
    <row r="19" spans="1:9" x14ac:dyDescent="0.25">
      <c r="A19" t="s">
        <v>117</v>
      </c>
      <c r="B19">
        <v>0.21108178993980528</v>
      </c>
      <c r="C19">
        <v>5.0178566914073873E-2</v>
      </c>
      <c r="D19">
        <v>4.206612562316959</v>
      </c>
      <c r="E19">
        <v>2.0505786863206179E-4</v>
      </c>
      <c r="F19">
        <v>0.1087419279976497</v>
      </c>
      <c r="G19">
        <v>0.31342165188196086</v>
      </c>
      <c r="H19">
        <v>0.1087419279976497</v>
      </c>
      <c r="I19">
        <v>0.31342165188196086</v>
      </c>
    </row>
    <row r="20" spans="1:9" ht="15.75" thickBot="1" x14ac:dyDescent="0.3">
      <c r="A20" s="15" t="s">
        <v>51</v>
      </c>
      <c r="B20" s="15">
        <v>-3.9622230921859255E-3</v>
      </c>
      <c r="C20" s="15">
        <v>1.2816358755862465E-3</v>
      </c>
      <c r="D20" s="15">
        <v>-3.091535722167206</v>
      </c>
      <c r="E20" s="15">
        <v>4.1877754404062309E-3</v>
      </c>
      <c r="F20" s="15">
        <v>-6.5761366938281093E-3</v>
      </c>
      <c r="G20" s="15">
        <v>-1.3483094905437417E-3</v>
      </c>
      <c r="H20" s="15">
        <v>-6.5761366938281093E-3</v>
      </c>
      <c r="I20" s="15">
        <v>-1.3483094905437417E-3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64C3-8141-4D0F-B7DF-043554D5AE5E}">
  <sheetPr>
    <tabColor theme="8" tint="0.79998168889431442"/>
  </sheetPr>
  <dimension ref="B3:K48"/>
  <sheetViews>
    <sheetView showGridLines="0" workbookViewId="0">
      <selection activeCell="F16" sqref="A11:XFD16"/>
    </sheetView>
  </sheetViews>
  <sheetFormatPr defaultRowHeight="15" x14ac:dyDescent="0.25"/>
  <cols>
    <col min="3" max="3" width="10.85546875" bestFit="1" customWidth="1"/>
    <col min="5" max="5" width="14.5703125" bestFit="1" customWidth="1"/>
    <col min="6" max="6" width="14.5703125" customWidth="1"/>
    <col min="7" max="7" width="2.7109375" customWidth="1"/>
    <col min="8" max="8" width="2.42578125" customWidth="1"/>
    <col min="9" max="9" width="13.7109375" bestFit="1" customWidth="1"/>
    <col min="10" max="10" width="23.28515625" bestFit="1" customWidth="1"/>
    <col min="11" max="11" width="19.140625" bestFit="1" customWidth="1"/>
    <col min="12" max="12" width="20.5703125" bestFit="1" customWidth="1"/>
    <col min="13" max="13" width="11" bestFit="1" customWidth="1"/>
    <col min="14" max="14" width="18.85546875" bestFit="1" customWidth="1"/>
    <col min="15" max="15" width="19.85546875" bestFit="1" customWidth="1"/>
    <col min="16" max="16" width="19.5703125" bestFit="1" customWidth="1"/>
    <col min="18" max="18" width="23" bestFit="1" customWidth="1"/>
    <col min="19" max="19" width="14.42578125" bestFit="1" customWidth="1"/>
    <col min="20" max="20" width="23.140625" bestFit="1" customWidth="1"/>
    <col min="21" max="21" width="22.42578125" bestFit="1" customWidth="1"/>
    <col min="22" max="22" width="21.85546875" bestFit="1" customWidth="1"/>
    <col min="23" max="23" width="14.28515625" bestFit="1" customWidth="1"/>
  </cols>
  <sheetData>
    <row r="3" spans="2:11" x14ac:dyDescent="0.25">
      <c r="D3" t="s">
        <v>83</v>
      </c>
    </row>
    <row r="4" spans="2:11" ht="18" x14ac:dyDescent="0.25">
      <c r="H4" s="6" t="s">
        <v>47</v>
      </c>
      <c r="I4" s="6"/>
      <c r="K4" s="6" t="s">
        <v>49</v>
      </c>
    </row>
    <row r="5" spans="2:11" x14ac:dyDescent="0.25">
      <c r="C5" s="18" t="s">
        <v>75</v>
      </c>
      <c r="D5" t="s">
        <v>76</v>
      </c>
      <c r="E5" t="s">
        <v>77</v>
      </c>
      <c r="F5" t="s">
        <v>89</v>
      </c>
      <c r="I5" t="s">
        <v>87</v>
      </c>
      <c r="J5" t="s">
        <v>117</v>
      </c>
      <c r="K5" s="7" t="s">
        <v>51</v>
      </c>
    </row>
    <row r="6" spans="2:11" x14ac:dyDescent="0.25">
      <c r="C6" t="s">
        <v>67</v>
      </c>
      <c r="D6" t="s">
        <v>78</v>
      </c>
      <c r="E6" s="10">
        <v>3.7499999999999999E-2</v>
      </c>
      <c r="F6" s="13">
        <f>E6-E7</f>
        <v>0</v>
      </c>
      <c r="G6" s="9"/>
      <c r="I6" s="13">
        <f>'Input data'!I6</f>
        <v>3.0821209953096451E-2</v>
      </c>
      <c r="J6" s="13">
        <v>3.2763980827269092E-2</v>
      </c>
      <c r="K6">
        <f>'Input data'!L6</f>
        <v>4.3</v>
      </c>
    </row>
    <row r="7" spans="2:11" x14ac:dyDescent="0.25">
      <c r="C7" t="s">
        <v>66</v>
      </c>
      <c r="D7" t="s">
        <v>78</v>
      </c>
      <c r="E7" s="10">
        <v>3.7499999999999999E-2</v>
      </c>
      <c r="F7" s="13">
        <f t="shared" ref="F7:F23" si="0">E7-E8</f>
        <v>0</v>
      </c>
      <c r="G7" s="9"/>
      <c r="I7" s="13">
        <f>'Input data'!I7</f>
        <v>3.2538497768765939E-2</v>
      </c>
      <c r="J7" s="13">
        <v>2.295295211914522E-2</v>
      </c>
      <c r="K7">
        <f>'Input data'!L7</f>
        <v>4.3</v>
      </c>
    </row>
    <row r="8" spans="2:11" x14ac:dyDescent="0.25">
      <c r="B8" s="4">
        <v>2026</v>
      </c>
      <c r="C8" t="s">
        <v>65</v>
      </c>
      <c r="D8" t="s">
        <v>78</v>
      </c>
      <c r="E8" s="10">
        <v>3.7499999999999999E-2</v>
      </c>
      <c r="F8" s="10">
        <f>E8-E9</f>
        <v>0</v>
      </c>
      <c r="G8" s="9"/>
      <c r="I8" s="13">
        <f>'Input data'!I8</f>
        <v>3.1046577893359739E-2</v>
      </c>
      <c r="J8" s="13">
        <v>2.5863953676875981E-2</v>
      </c>
      <c r="K8">
        <f>'Input data'!L8</f>
        <v>4.3</v>
      </c>
    </row>
    <row r="9" spans="2:11" x14ac:dyDescent="0.25">
      <c r="C9" t="s">
        <v>71</v>
      </c>
      <c r="D9" t="s">
        <v>81</v>
      </c>
      <c r="E9" s="10">
        <v>3.7499999999999999E-2</v>
      </c>
      <c r="F9" s="13">
        <f t="shared" si="0"/>
        <v>-2.5000000000000022E-3</v>
      </c>
      <c r="G9" s="9"/>
      <c r="I9" s="13">
        <f>'Input data'!I9</f>
        <v>2.9711101806821461E-2</v>
      </c>
      <c r="J9" s="13">
        <v>3.1928688431640158E-2</v>
      </c>
      <c r="K9">
        <f>'Input data'!L9</f>
        <v>4.4000000000000004</v>
      </c>
    </row>
    <row r="10" spans="2:11" x14ac:dyDescent="0.25">
      <c r="C10" t="s">
        <v>119</v>
      </c>
      <c r="D10" t="s">
        <v>81</v>
      </c>
      <c r="E10" s="11">
        <v>0.04</v>
      </c>
      <c r="F10" s="13">
        <f t="shared" si="0"/>
        <v>-2.5000000000000022E-3</v>
      </c>
      <c r="G10" s="9"/>
      <c r="I10" s="13">
        <f>'Input data'!I10</f>
        <v>2.6467788515835533E-2</v>
      </c>
      <c r="J10" s="13">
        <v>2.7275976282644811E-2</v>
      </c>
      <c r="K10">
        <f>(K9+K11)/2</f>
        <v>4.4000000000000004</v>
      </c>
    </row>
    <row r="11" spans="2:11" x14ac:dyDescent="0.25">
      <c r="C11" t="s">
        <v>70</v>
      </c>
      <c r="D11" t="s">
        <v>81</v>
      </c>
      <c r="E11" s="10">
        <v>4.2500000000000003E-2</v>
      </c>
      <c r="F11" s="13">
        <f t="shared" si="0"/>
        <v>-2.4999999999999953E-3</v>
      </c>
      <c r="G11" s="9"/>
      <c r="I11" s="13">
        <f>'Input data'!I11</f>
        <v>2.8250692498339669E-2</v>
      </c>
      <c r="J11" s="13">
        <v>2.8035993110409031E-2</v>
      </c>
      <c r="K11">
        <f>'Input data'!L11</f>
        <v>4.4000000000000004</v>
      </c>
    </row>
    <row r="12" spans="2:11" x14ac:dyDescent="0.25">
      <c r="C12" t="s">
        <v>69</v>
      </c>
      <c r="D12" t="s">
        <v>78</v>
      </c>
      <c r="E12" s="10">
        <v>4.4999999999999998E-2</v>
      </c>
      <c r="F12" s="13">
        <f t="shared" si="0"/>
        <v>0</v>
      </c>
      <c r="G12" s="9"/>
      <c r="I12" s="13">
        <f>'Input data'!I12</f>
        <v>2.8630472455679401E-2</v>
      </c>
      <c r="J12" s="13">
        <v>2.7890472823845019E-2</v>
      </c>
      <c r="K12">
        <f>'Input data'!L12</f>
        <v>4.3</v>
      </c>
    </row>
    <row r="13" spans="2:11" x14ac:dyDescent="0.25">
      <c r="C13" t="s">
        <v>68</v>
      </c>
      <c r="D13" t="s">
        <v>78</v>
      </c>
      <c r="E13" s="10">
        <v>4.4999999999999998E-2</v>
      </c>
      <c r="F13" s="13">
        <f t="shared" si="0"/>
        <v>0</v>
      </c>
      <c r="G13" s="9"/>
      <c r="I13" s="13">
        <f>'Input data'!I13</f>
        <v>2.8073722050588001E-2</v>
      </c>
      <c r="J13" s="13">
        <v>2.3805420229348988E-2</v>
      </c>
      <c r="K13">
        <f>'Input data'!L13</f>
        <v>4.0999999999999996</v>
      </c>
    </row>
    <row r="14" spans="2:11" x14ac:dyDescent="0.25">
      <c r="C14" t="s">
        <v>72</v>
      </c>
      <c r="D14" t="s">
        <v>78</v>
      </c>
      <c r="E14" s="10">
        <v>4.4999999999999998E-2</v>
      </c>
      <c r="F14" s="13">
        <f t="shared" si="0"/>
        <v>0</v>
      </c>
      <c r="G14" s="9"/>
      <c r="I14" s="13">
        <f>'Input data'!I14</f>
        <v>2.8502747252747263E-2</v>
      </c>
      <c r="J14" s="13">
        <v>2.6913372726495799E-2</v>
      </c>
      <c r="K14">
        <f>'Input data'!L14</f>
        <v>4.3</v>
      </c>
    </row>
    <row r="15" spans="2:11" x14ac:dyDescent="0.25">
      <c r="C15" t="s">
        <v>66</v>
      </c>
      <c r="D15" t="s">
        <v>78</v>
      </c>
      <c r="E15" s="10">
        <v>4.4999999999999998E-2</v>
      </c>
      <c r="F15" s="13">
        <f t="shared" si="0"/>
        <v>0</v>
      </c>
      <c r="G15" s="9"/>
      <c r="I15" s="13">
        <f>'Input data'!I15</f>
        <v>2.6702948143169758E-2</v>
      </c>
      <c r="J15" s="13">
        <v>2.183852723124486E-2</v>
      </c>
      <c r="K15">
        <f>'Input data'!L15</f>
        <v>4.2</v>
      </c>
    </row>
    <row r="16" spans="2:11" x14ac:dyDescent="0.25">
      <c r="B16" s="4">
        <v>2025</v>
      </c>
      <c r="C16" t="s">
        <v>65</v>
      </c>
      <c r="D16" t="s">
        <v>78</v>
      </c>
      <c r="E16" s="10">
        <v>4.4999999999999998E-2</v>
      </c>
      <c r="F16" s="10">
        <f>E16-E17</f>
        <v>0</v>
      </c>
      <c r="G16" s="9"/>
      <c r="I16" s="13">
        <f>'Input data'!I16</f>
        <v>2.7801380994415092E-2</v>
      </c>
      <c r="J16" s="13">
        <v>2.6269584141710451E-2</v>
      </c>
      <c r="K16">
        <f>'Input data'!L16</f>
        <v>4</v>
      </c>
    </row>
    <row r="17" spans="2:11" x14ac:dyDescent="0.25">
      <c r="C17" t="s">
        <v>71</v>
      </c>
      <c r="D17" t="s">
        <v>81</v>
      </c>
      <c r="E17" s="10">
        <v>4.4999999999999998E-2</v>
      </c>
      <c r="F17" s="13">
        <f t="shared" si="0"/>
        <v>-2.5000000000000022E-3</v>
      </c>
      <c r="G17" s="9"/>
      <c r="I17" s="13">
        <f>'Input data'!I17</f>
        <v>2.9885896245190446E-2</v>
      </c>
      <c r="J17" s="13">
        <v>2.6503563435158209E-2</v>
      </c>
      <c r="K17">
        <f>'Input data'!L17</f>
        <v>4.0999999999999996</v>
      </c>
    </row>
    <row r="18" spans="2:11" x14ac:dyDescent="0.25">
      <c r="C18" t="s">
        <v>73</v>
      </c>
      <c r="D18" t="s">
        <v>81</v>
      </c>
      <c r="E18" s="10">
        <v>4.7500000000000001E-2</v>
      </c>
      <c r="F18" s="13">
        <f t="shared" si="0"/>
        <v>-2.5000000000000022E-3</v>
      </c>
      <c r="G18" s="9"/>
      <c r="I18" s="13">
        <f>'Input data'!I18</f>
        <v>3.0946183082309675E-2</v>
      </c>
      <c r="J18" s="13">
        <v>2.4316757969679439E-2</v>
      </c>
      <c r="K18">
        <f>'Input data'!L18</f>
        <v>4.2</v>
      </c>
    </row>
    <row r="19" spans="2:11" x14ac:dyDescent="0.25">
      <c r="C19" t="s">
        <v>70</v>
      </c>
      <c r="D19" t="s">
        <v>81</v>
      </c>
      <c r="E19" s="11">
        <v>0.05</v>
      </c>
      <c r="F19" s="13">
        <f t="shared" si="0"/>
        <v>-4.9999999999999975E-3</v>
      </c>
      <c r="G19" s="9"/>
      <c r="I19" s="13">
        <f>'Input data'!I19</f>
        <v>2.8386279964683681E-2</v>
      </c>
      <c r="J19" s="13">
        <v>2.2361209148941338E-2</v>
      </c>
      <c r="K19">
        <f>'Input data'!L19</f>
        <v>4.0999999999999996</v>
      </c>
    </row>
    <row r="20" spans="2:11" x14ac:dyDescent="0.25">
      <c r="C20" t="s">
        <v>69</v>
      </c>
      <c r="D20" t="s">
        <v>78</v>
      </c>
      <c r="E20" s="10">
        <v>5.5E-2</v>
      </c>
      <c r="F20" s="13">
        <f t="shared" si="0"/>
        <v>0</v>
      </c>
      <c r="G20" s="8"/>
      <c r="I20" s="13">
        <f>'Input data'!I20</f>
        <v>2.8062163337682744E-2</v>
      </c>
      <c r="J20" s="13">
        <v>2.5556443112034789E-2</v>
      </c>
      <c r="K20">
        <f>'Input data'!L20</f>
        <v>4.2</v>
      </c>
    </row>
    <row r="21" spans="2:11" x14ac:dyDescent="0.25">
      <c r="C21" t="s">
        <v>68</v>
      </c>
      <c r="D21" t="s">
        <v>78</v>
      </c>
      <c r="E21" s="10">
        <v>5.5E-2</v>
      </c>
      <c r="F21" s="13">
        <f t="shared" si="0"/>
        <v>0</v>
      </c>
      <c r="G21" s="9"/>
      <c r="I21" s="13">
        <f>'Input data'!I21</f>
        <v>2.7531619063573265E-2</v>
      </c>
      <c r="J21" s="13">
        <v>2.7258401993137241E-2</v>
      </c>
      <c r="K21">
        <f>'Input data'!L21</f>
        <v>4.0999999999999996</v>
      </c>
    </row>
    <row r="22" spans="2:11" x14ac:dyDescent="0.25">
      <c r="C22" t="s">
        <v>67</v>
      </c>
      <c r="D22" t="s">
        <v>78</v>
      </c>
      <c r="E22" s="10">
        <v>5.5E-2</v>
      </c>
      <c r="F22" s="13">
        <f t="shared" si="0"/>
        <v>0</v>
      </c>
      <c r="G22" s="9"/>
      <c r="I22" s="13">
        <f>'Input data'!I22</f>
        <v>2.7048361227043349E-2</v>
      </c>
      <c r="J22" s="13">
        <v>2.7043668746998598E-2</v>
      </c>
      <c r="K22">
        <f>'Input data'!L22</f>
        <v>3.9</v>
      </c>
    </row>
    <row r="23" spans="2:11" x14ac:dyDescent="0.25">
      <c r="C23" t="s">
        <v>66</v>
      </c>
      <c r="D23" t="s">
        <v>78</v>
      </c>
      <c r="E23" s="10">
        <v>5.5E-2</v>
      </c>
      <c r="F23" s="13">
        <f t="shared" si="0"/>
        <v>0</v>
      </c>
      <c r="G23" s="9"/>
      <c r="I23" s="13">
        <f>'Input data'!I23</f>
        <v>3.1221738579216618E-2</v>
      </c>
      <c r="J23" s="13">
        <v>2.0822133302478289E-2</v>
      </c>
      <c r="K23">
        <f>'Input data'!L23</f>
        <v>3.9</v>
      </c>
    </row>
    <row r="24" spans="2:11" x14ac:dyDescent="0.25">
      <c r="B24" s="4">
        <v>2024</v>
      </c>
      <c r="C24" t="s">
        <v>65</v>
      </c>
      <c r="D24" t="s">
        <v>78</v>
      </c>
      <c r="E24" s="10">
        <v>5.5E-2</v>
      </c>
      <c r="F24" s="13">
        <f>E24-E25</f>
        <v>0</v>
      </c>
      <c r="G24" s="9"/>
      <c r="I24" s="13">
        <f>'Input data'!I24</f>
        <v>2.7881182745550293E-2</v>
      </c>
      <c r="J24" s="13">
        <v>2.4186325609635202E-2</v>
      </c>
      <c r="K24">
        <f>'Input data'!L24</f>
        <v>3.7</v>
      </c>
    </row>
    <row r="25" spans="2:11" x14ac:dyDescent="0.25">
      <c r="C25" t="s">
        <v>71</v>
      </c>
      <c r="D25" t="s">
        <v>78</v>
      </c>
      <c r="E25" s="10">
        <v>5.5E-2</v>
      </c>
      <c r="F25" s="13">
        <f t="shared" ref="F25:F31" si="1">E25-E26</f>
        <v>0</v>
      </c>
      <c r="G25" s="9"/>
      <c r="I25" s="13">
        <f>'Input data'!I25</f>
        <v>3.1123879882344996E-2</v>
      </c>
      <c r="J25" s="13">
        <v>3.0916649890522039E-2</v>
      </c>
      <c r="K25">
        <f>'Input data'!L25</f>
        <v>3.8</v>
      </c>
    </row>
    <row r="26" spans="2:11" x14ac:dyDescent="0.25">
      <c r="C26" t="s">
        <v>119</v>
      </c>
      <c r="D26" t="s">
        <v>78</v>
      </c>
      <c r="E26" s="10">
        <v>5.5E-2</v>
      </c>
      <c r="F26" s="13">
        <f t="shared" si="1"/>
        <v>0</v>
      </c>
      <c r="G26" s="9"/>
      <c r="I26" s="13">
        <f>'Input data'!I26</f>
        <v>3.1766189859188776E-2</v>
      </c>
      <c r="J26" s="13">
        <v>2.7695736718636739E-2</v>
      </c>
      <c r="K26">
        <f>'Input data'!L26</f>
        <v>3.9</v>
      </c>
    </row>
    <row r="27" spans="2:11" x14ac:dyDescent="0.25">
      <c r="C27" t="s">
        <v>70</v>
      </c>
      <c r="D27" t="s">
        <v>78</v>
      </c>
      <c r="E27" s="10">
        <v>5.5E-2</v>
      </c>
      <c r="F27" s="13">
        <f t="shared" si="1"/>
        <v>0</v>
      </c>
      <c r="G27" s="9"/>
      <c r="I27" s="13">
        <f>'Input data'!I27</f>
        <v>3.6877742080353881E-2</v>
      </c>
      <c r="J27" s="13">
        <v>2.81243484377258E-2</v>
      </c>
      <c r="K27">
        <f>'Input data'!L27</f>
        <v>3.7</v>
      </c>
    </row>
    <row r="28" spans="2:11" x14ac:dyDescent="0.25">
      <c r="C28" t="s">
        <v>69</v>
      </c>
      <c r="D28" t="s">
        <v>79</v>
      </c>
      <c r="E28" s="10">
        <v>5.5E-2</v>
      </c>
      <c r="F28" s="13">
        <f t="shared" si="1"/>
        <v>2.5000000000000022E-3</v>
      </c>
      <c r="G28" s="9"/>
      <c r="I28" s="13">
        <f>'Input data'!I28</f>
        <v>4.2991241232508637E-2</v>
      </c>
      <c r="J28" s="13">
        <v>2.4743165315977741E-2</v>
      </c>
      <c r="K28">
        <f>'Input data'!L28</f>
        <v>3.5</v>
      </c>
    </row>
    <row r="29" spans="2:11" x14ac:dyDescent="0.25">
      <c r="C29" t="s">
        <v>68</v>
      </c>
      <c r="D29" t="s">
        <v>78</v>
      </c>
      <c r="E29" s="10">
        <v>5.2499999999999998E-2</v>
      </c>
      <c r="F29" s="13">
        <f t="shared" si="1"/>
        <v>0</v>
      </c>
      <c r="G29" s="9"/>
      <c r="I29" s="13">
        <f>'Input data'!I29</f>
        <v>4.3837868084213527E-2</v>
      </c>
      <c r="J29" s="13">
        <v>1.366262544020564E-2</v>
      </c>
      <c r="K29">
        <f>'Input data'!L29</f>
        <v>3.6</v>
      </c>
    </row>
    <row r="30" spans="2:11" x14ac:dyDescent="0.25">
      <c r="C30" t="s">
        <v>72</v>
      </c>
      <c r="D30" t="s">
        <v>79</v>
      </c>
      <c r="E30" s="10">
        <v>5.2499999999999998E-2</v>
      </c>
      <c r="F30" s="13">
        <f t="shared" si="1"/>
        <v>2.4999999999999953E-3</v>
      </c>
      <c r="G30" s="9"/>
      <c r="I30" s="13">
        <f>'Input data'!I30</f>
        <v>4.7316253748801662E-2</v>
      </c>
      <c r="J30" s="13">
        <v>2.6536385712347722E-2</v>
      </c>
      <c r="K30">
        <f>'Input data'!L30</f>
        <v>3.6</v>
      </c>
    </row>
    <row r="31" spans="2:11" x14ac:dyDescent="0.25">
      <c r="C31" t="s">
        <v>66</v>
      </c>
      <c r="D31" t="s">
        <v>79</v>
      </c>
      <c r="E31" s="11">
        <v>0.05</v>
      </c>
      <c r="F31" s="13">
        <f t="shared" si="1"/>
        <v>2.5000000000000022E-3</v>
      </c>
      <c r="G31" s="9"/>
      <c r="I31" s="13">
        <f>'Input data'!I31</f>
        <v>4.7832863949554438E-2</v>
      </c>
      <c r="J31" s="13">
        <v>2.0732508657592331E-2</v>
      </c>
      <c r="K31">
        <f>'Input data'!L31</f>
        <v>3.5</v>
      </c>
    </row>
    <row r="32" spans="2:11" x14ac:dyDescent="0.25">
      <c r="B32" s="4">
        <v>2023</v>
      </c>
      <c r="C32" t="s">
        <v>80</v>
      </c>
      <c r="D32" t="s">
        <v>79</v>
      </c>
      <c r="E32" s="10">
        <v>4.7500000000000001E-2</v>
      </c>
      <c r="F32" s="13">
        <f>E32-E33</f>
        <v>2.5000000000000022E-3</v>
      </c>
      <c r="G32" s="9"/>
      <c r="I32" s="13">
        <f>'Input data'!I32</f>
        <v>5.3163177823819519E-2</v>
      </c>
      <c r="J32" s="13">
        <v>2.6130894604456799E-2</v>
      </c>
      <c r="K32">
        <f>'Input data'!L32</f>
        <v>3.6</v>
      </c>
    </row>
    <row r="33" spans="2:11" x14ac:dyDescent="0.25">
      <c r="C33" t="s">
        <v>71</v>
      </c>
      <c r="D33" t="s">
        <v>79</v>
      </c>
      <c r="E33" s="10">
        <v>4.4999999999999998E-2</v>
      </c>
      <c r="F33" s="13">
        <f t="shared" ref="F33:F39" si="2">E33-E34</f>
        <v>4.9999999999999975E-3</v>
      </c>
      <c r="G33" s="9"/>
      <c r="I33" s="13">
        <f>'Input data'!I33</f>
        <v>4.9668814733705435E-2</v>
      </c>
      <c r="J33" s="13">
        <v>2.8681191792107409E-2</v>
      </c>
      <c r="K33">
        <f>'Input data'!L33</f>
        <v>3.5</v>
      </c>
    </row>
    <row r="34" spans="2:11" x14ac:dyDescent="0.25">
      <c r="C34" t="s">
        <v>73</v>
      </c>
      <c r="D34" t="s">
        <v>79</v>
      </c>
      <c r="E34" s="11">
        <v>0.04</v>
      </c>
      <c r="F34" s="13">
        <f t="shared" si="2"/>
        <v>7.4999999999999997E-3</v>
      </c>
      <c r="G34" s="9"/>
      <c r="I34" s="13">
        <f>'Input data'!I34</f>
        <v>5.2080888327164399E-2</v>
      </c>
      <c r="J34" s="13">
        <v>3.2390483904257722E-2</v>
      </c>
      <c r="K34">
        <f>'Input data'!L34</f>
        <v>3.6</v>
      </c>
    </row>
    <row r="35" spans="2:11" x14ac:dyDescent="0.25">
      <c r="C35" t="s">
        <v>70</v>
      </c>
      <c r="D35" t="s">
        <v>79</v>
      </c>
      <c r="E35" s="10">
        <v>3.2500000000000001E-2</v>
      </c>
      <c r="F35" s="13">
        <f t="shared" si="2"/>
        <v>7.4999999999999997E-3</v>
      </c>
      <c r="G35" s="9"/>
      <c r="I35" s="13">
        <f>'Input data'!I35</f>
        <v>5.6064793279886116E-2</v>
      </c>
      <c r="J35" s="13">
        <v>4.1791496909556247E-2</v>
      </c>
      <c r="K35">
        <f>'Input data'!L35</f>
        <v>3.5</v>
      </c>
    </row>
    <row r="36" spans="2:11" x14ac:dyDescent="0.25">
      <c r="C36" t="s">
        <v>69</v>
      </c>
      <c r="D36" t="s">
        <v>79</v>
      </c>
      <c r="E36" s="10">
        <v>2.5000000000000001E-2</v>
      </c>
      <c r="F36" s="13">
        <f t="shared" si="2"/>
        <v>7.4999999999999997E-3</v>
      </c>
      <c r="G36" s="9"/>
      <c r="I36" s="13">
        <f>'Input data'!I36</f>
        <v>5.1073740578407856E-2</v>
      </c>
      <c r="J36" s="13">
        <v>3.3092776951833699E-2</v>
      </c>
      <c r="K36">
        <f>'Input data'!L36</f>
        <v>3.5</v>
      </c>
    </row>
    <row r="37" spans="2:11" x14ac:dyDescent="0.25">
      <c r="C37" t="s">
        <v>68</v>
      </c>
      <c r="D37" t="s">
        <v>79</v>
      </c>
      <c r="E37" s="10">
        <v>1.7500000000000002E-2</v>
      </c>
      <c r="F37" s="13">
        <f t="shared" si="2"/>
        <v>7.5000000000000015E-3</v>
      </c>
      <c r="G37" s="9"/>
      <c r="I37" s="13">
        <f>'Input data'!I37</f>
        <v>5.3156910950894698E-2</v>
      </c>
      <c r="J37" s="13">
        <v>4.2267133748399272E-2</v>
      </c>
      <c r="K37">
        <f>'Input data'!L37</f>
        <v>3.6</v>
      </c>
    </row>
    <row r="38" spans="2:11" x14ac:dyDescent="0.25">
      <c r="C38" t="s">
        <v>72</v>
      </c>
      <c r="D38" t="s">
        <v>79</v>
      </c>
      <c r="E38" s="10">
        <v>0.01</v>
      </c>
      <c r="F38" s="13">
        <f t="shared" si="2"/>
        <v>5.0000000000000001E-3</v>
      </c>
      <c r="G38" s="9"/>
      <c r="I38" s="13">
        <f>'Input data'!I38</f>
        <v>5.7131966009037027E-2</v>
      </c>
      <c r="J38" s="13">
        <v>3.6346578458562137E-2</v>
      </c>
      <c r="K38">
        <f>'Input data'!L38</f>
        <v>3.6</v>
      </c>
    </row>
    <row r="39" spans="2:11" x14ac:dyDescent="0.25">
      <c r="C39" t="s">
        <v>66</v>
      </c>
      <c r="D39" t="s">
        <v>79</v>
      </c>
      <c r="E39" s="10">
        <v>5.0000000000000001E-3</v>
      </c>
      <c r="F39" s="13">
        <f t="shared" si="2"/>
        <v>2.5000000000000001E-3</v>
      </c>
      <c r="G39" s="9"/>
      <c r="I39" s="13">
        <f>'Input data'!I39</f>
        <v>5.5932219240084846E-2</v>
      </c>
      <c r="J39" s="13">
        <v>3.0576988299021911E-2</v>
      </c>
      <c r="K39">
        <f>'Input data'!L39</f>
        <v>3.7</v>
      </c>
    </row>
    <row r="40" spans="2:11" x14ac:dyDescent="0.25">
      <c r="B40" s="4">
        <v>2022</v>
      </c>
      <c r="C40" t="s">
        <v>65</v>
      </c>
      <c r="D40" t="s">
        <v>78</v>
      </c>
      <c r="E40" s="10">
        <v>2.5000000000000001E-3</v>
      </c>
      <c r="F40" s="13">
        <f>E40-E41</f>
        <v>0</v>
      </c>
      <c r="G40" s="9"/>
      <c r="I40" s="13">
        <f>'Input data'!I40</f>
        <v>5.3584365973221804E-2</v>
      </c>
      <c r="J40" s="13">
        <v>2.2417584823726008E-2</v>
      </c>
      <c r="K40">
        <f>'Input data'!L40</f>
        <v>4</v>
      </c>
    </row>
    <row r="41" spans="2:11" x14ac:dyDescent="0.25">
      <c r="B41" s="4"/>
      <c r="C41" t="s">
        <v>71</v>
      </c>
      <c r="D41" t="s">
        <v>78</v>
      </c>
      <c r="E41" s="10">
        <v>2.5000000000000001E-3</v>
      </c>
      <c r="F41" s="13">
        <f t="shared" ref="F41:F47" si="3">E41-E42</f>
        <v>0</v>
      </c>
      <c r="G41" s="9"/>
      <c r="I41" s="14"/>
      <c r="J41" s="13">
        <v>2.620308612577436E-2</v>
      </c>
      <c r="K41">
        <f>'Input data'!L41</f>
        <v>3.9</v>
      </c>
    </row>
    <row r="42" spans="2:11" x14ac:dyDescent="0.25">
      <c r="B42" s="4"/>
      <c r="C42" t="s">
        <v>73</v>
      </c>
      <c r="D42" t="s">
        <v>78</v>
      </c>
      <c r="E42" s="10">
        <v>2.5000000000000001E-3</v>
      </c>
      <c r="F42" s="13">
        <f t="shared" si="3"/>
        <v>0</v>
      </c>
      <c r="G42" s="9"/>
      <c r="I42" s="14"/>
      <c r="J42" s="13">
        <v>2.479840496408332E-2</v>
      </c>
      <c r="K42">
        <f>'Input data'!L42</f>
        <v>4.0999999999999996</v>
      </c>
    </row>
    <row r="43" spans="2:11" x14ac:dyDescent="0.25">
      <c r="B43" s="4"/>
      <c r="C43" t="s">
        <v>70</v>
      </c>
      <c r="D43" t="s">
        <v>78</v>
      </c>
      <c r="E43" s="10">
        <v>2.5000000000000001E-3</v>
      </c>
      <c r="F43" s="13">
        <f t="shared" si="3"/>
        <v>0</v>
      </c>
      <c r="G43" s="9"/>
      <c r="I43" s="14"/>
      <c r="J43" s="13">
        <v>2.684137125641366E-2</v>
      </c>
      <c r="K43">
        <f>'Input data'!L43</f>
        <v>4.7</v>
      </c>
    </row>
    <row r="44" spans="2:11" x14ac:dyDescent="0.25">
      <c r="B44" s="4"/>
      <c r="C44" t="s">
        <v>69</v>
      </c>
      <c r="D44" t="s">
        <v>78</v>
      </c>
      <c r="E44" s="10">
        <v>2.5000000000000001E-3</v>
      </c>
      <c r="F44" s="13">
        <f t="shared" si="3"/>
        <v>0</v>
      </c>
      <c r="G44" s="9"/>
      <c r="I44" s="14"/>
      <c r="J44" s="13">
        <v>2.0731161156649448E-2</v>
      </c>
      <c r="K44">
        <f>'Input data'!L44</f>
        <v>5.4</v>
      </c>
    </row>
    <row r="45" spans="2:11" x14ac:dyDescent="0.25">
      <c r="B45" s="4"/>
      <c r="C45" t="s">
        <v>68</v>
      </c>
      <c r="D45" t="s">
        <v>78</v>
      </c>
      <c r="E45" s="10">
        <v>2.5000000000000001E-3</v>
      </c>
      <c r="F45" s="13">
        <f t="shared" si="3"/>
        <v>0</v>
      </c>
      <c r="G45" s="9"/>
      <c r="I45" s="14"/>
      <c r="J45" s="13">
        <v>2.055188590012581E-2</v>
      </c>
      <c r="K45">
        <f>'Input data'!L45</f>
        <v>5.9</v>
      </c>
    </row>
    <row r="46" spans="2:11" x14ac:dyDescent="0.25">
      <c r="B46" s="4"/>
      <c r="C46" t="s">
        <v>67</v>
      </c>
      <c r="D46" t="s">
        <v>78</v>
      </c>
      <c r="E46" s="10">
        <v>2.5000000000000001E-3</v>
      </c>
      <c r="F46" s="13">
        <f t="shared" si="3"/>
        <v>0</v>
      </c>
      <c r="G46" s="9"/>
      <c r="I46" s="14"/>
      <c r="J46" s="13">
        <v>1.7547173596944039E-2</v>
      </c>
      <c r="K46">
        <f>'Input data'!L46</f>
        <v>6.1</v>
      </c>
    </row>
    <row r="47" spans="2:11" x14ac:dyDescent="0.25">
      <c r="B47" s="4"/>
      <c r="C47" t="s">
        <v>66</v>
      </c>
      <c r="D47" t="s">
        <v>78</v>
      </c>
      <c r="E47" s="10">
        <v>2.5000000000000001E-3</v>
      </c>
      <c r="F47" s="13">
        <f t="shared" si="3"/>
        <v>0</v>
      </c>
      <c r="G47" s="9"/>
      <c r="I47" s="14"/>
      <c r="J47" s="13">
        <v>1.513838088621404E-2</v>
      </c>
      <c r="K47">
        <f>'Input data'!L47</f>
        <v>6.1</v>
      </c>
    </row>
    <row r="48" spans="2:11" x14ac:dyDescent="0.25">
      <c r="B48" s="4">
        <v>2021</v>
      </c>
      <c r="C48" t="s">
        <v>65</v>
      </c>
      <c r="D48" t="s">
        <v>78</v>
      </c>
      <c r="E48" s="10">
        <v>2.5000000000000001E-3</v>
      </c>
      <c r="F48" s="10">
        <v>0</v>
      </c>
      <c r="G48" s="9"/>
      <c r="I48" s="14"/>
      <c r="J48" s="13">
        <v>1.4460926017034329E-2</v>
      </c>
      <c r="K48">
        <f>'Input data'!L48</f>
        <v>6.4</v>
      </c>
    </row>
  </sheetData>
  <hyperlinks>
    <hyperlink ref="C5" r:id="rId1" xr:uid="{5A38C766-E7B1-43E1-B58F-FB4AC63F812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BC8FF-C817-4964-86ED-035ABAEDF39F}">
  <sheetPr>
    <tabColor theme="8" tint="0.79998168889431442"/>
  </sheetPr>
  <dimension ref="B1:U187"/>
  <sheetViews>
    <sheetView showGridLines="0" workbookViewId="0">
      <selection activeCell="C3" sqref="C3"/>
    </sheetView>
  </sheetViews>
  <sheetFormatPr defaultRowHeight="15" x14ac:dyDescent="0.25"/>
  <cols>
    <col min="3" max="3" width="10.85546875" bestFit="1" customWidth="1"/>
    <col min="5" max="5" width="14.5703125" bestFit="1" customWidth="1"/>
    <col min="6" max="6" width="14.5703125" customWidth="1"/>
    <col min="7" max="7" width="2.42578125" customWidth="1"/>
    <col min="8" max="8" width="10.42578125" customWidth="1"/>
    <col min="9" max="9" width="13.7109375" bestFit="1" customWidth="1"/>
    <col min="10" max="10" width="23.28515625" bestFit="1" customWidth="1"/>
    <col min="11" max="11" width="2.42578125" customWidth="1"/>
    <col min="12" max="12" width="19.140625" bestFit="1" customWidth="1"/>
    <col min="13" max="13" width="16.42578125" bestFit="1" customWidth="1"/>
    <col min="14" max="14" width="2.7109375" customWidth="1"/>
    <col min="15" max="15" width="11.42578125" bestFit="1" customWidth="1"/>
    <col min="16" max="16" width="15.140625" bestFit="1" customWidth="1"/>
    <col min="17" max="17" width="19.85546875" bestFit="1" customWidth="1"/>
    <col min="18" max="18" width="2.7109375" customWidth="1"/>
    <col min="19" max="19" width="14.42578125" bestFit="1" customWidth="1"/>
    <col min="20" max="20" width="23.140625" bestFit="1" customWidth="1"/>
    <col min="21" max="21" width="14.28515625" bestFit="1" customWidth="1"/>
    <col min="22" max="22" width="20.5703125" bestFit="1" customWidth="1"/>
    <col min="23" max="23" width="11" bestFit="1" customWidth="1"/>
    <col min="24" max="24" width="18.85546875" bestFit="1" customWidth="1"/>
    <col min="25" max="25" width="19.85546875" bestFit="1" customWidth="1"/>
    <col min="26" max="26" width="19.5703125" bestFit="1" customWidth="1"/>
    <col min="28" max="28" width="23" bestFit="1" customWidth="1"/>
    <col min="29" max="29" width="14.42578125" bestFit="1" customWidth="1"/>
    <col min="30" max="30" width="23.140625" bestFit="1" customWidth="1"/>
    <col min="31" max="31" width="22.42578125" bestFit="1" customWidth="1"/>
    <col min="32" max="32" width="21.85546875" bestFit="1" customWidth="1"/>
    <col min="33" max="33" width="14.28515625" bestFit="1" customWidth="1"/>
  </cols>
  <sheetData>
    <row r="1" spans="2:21" x14ac:dyDescent="0.25">
      <c r="P1" s="9"/>
      <c r="Q1" s="9"/>
      <c r="R1" s="8"/>
      <c r="S1" s="8"/>
    </row>
    <row r="2" spans="2:21" x14ac:dyDescent="0.25">
      <c r="C2" t="s">
        <v>85</v>
      </c>
      <c r="E2" t="s">
        <v>122</v>
      </c>
      <c r="P2" s="9"/>
      <c r="Q2" s="9"/>
      <c r="R2" s="8"/>
      <c r="S2" s="8"/>
    </row>
    <row r="3" spans="2:21" x14ac:dyDescent="0.25">
      <c r="C3" t="s">
        <v>84</v>
      </c>
      <c r="D3" t="s">
        <v>83</v>
      </c>
      <c r="P3" s="9"/>
      <c r="Q3" s="9"/>
      <c r="R3" s="8"/>
      <c r="S3" s="8"/>
    </row>
    <row r="4" spans="2:21" ht="18" x14ac:dyDescent="0.25">
      <c r="G4" s="6" t="s">
        <v>47</v>
      </c>
      <c r="I4" s="6"/>
      <c r="K4" s="6" t="s">
        <v>49</v>
      </c>
      <c r="O4" s="6" t="s">
        <v>52</v>
      </c>
      <c r="S4" s="6" t="s">
        <v>54</v>
      </c>
    </row>
    <row r="5" spans="2:21" ht="15.75" thickBot="1" x14ac:dyDescent="0.3">
      <c r="C5" t="s">
        <v>75</v>
      </c>
      <c r="D5" t="s">
        <v>76</v>
      </c>
      <c r="E5" t="s">
        <v>77</v>
      </c>
      <c r="F5" t="s">
        <v>89</v>
      </c>
      <c r="H5" s="12" t="s">
        <v>48</v>
      </c>
      <c r="I5" t="s">
        <v>87</v>
      </c>
      <c r="J5" s="12" t="s">
        <v>118</v>
      </c>
      <c r="L5" s="12" t="s">
        <v>51</v>
      </c>
      <c r="M5" s="7" t="s">
        <v>50</v>
      </c>
      <c r="O5" s="7" t="s">
        <v>120</v>
      </c>
      <c r="P5" s="7" t="s">
        <v>121</v>
      </c>
      <c r="Q5" s="7" t="s">
        <v>53</v>
      </c>
      <c r="S5" s="12" t="s">
        <v>55</v>
      </c>
      <c r="T5" s="7" t="s">
        <v>56</v>
      </c>
      <c r="U5" s="7" t="s">
        <v>57</v>
      </c>
    </row>
    <row r="6" spans="2:21" ht="15.75" thickBot="1" x14ac:dyDescent="0.3">
      <c r="C6" s="20" t="s">
        <v>67</v>
      </c>
      <c r="D6" s="20" t="s">
        <v>78</v>
      </c>
      <c r="E6" s="20">
        <v>3.7499999999999999E-2</v>
      </c>
      <c r="F6" s="20">
        <f>E6-E7</f>
        <v>0</v>
      </c>
      <c r="G6" s="20"/>
      <c r="H6" s="20">
        <v>129.667</v>
      </c>
      <c r="I6" s="20">
        <f t="shared" ref="I6:I40" si="0">(H6/H14-1)</f>
        <v>3.0821209953096451E-2</v>
      </c>
      <c r="J6" s="20">
        <v>3.2763980827269092E-2</v>
      </c>
      <c r="K6" s="20"/>
      <c r="L6" s="20">
        <v>4.3</v>
      </c>
      <c r="M6" s="20"/>
      <c r="N6" s="20"/>
      <c r="O6" s="20"/>
      <c r="P6" s="20"/>
      <c r="Q6" s="20"/>
      <c r="R6" s="20"/>
      <c r="S6" s="21">
        <v>4.3999999999999997E-2</v>
      </c>
      <c r="T6" s="20"/>
    </row>
    <row r="7" spans="2:21" ht="15.75" thickBot="1" x14ac:dyDescent="0.3">
      <c r="C7" s="19" t="s">
        <v>66</v>
      </c>
      <c r="D7" s="19" t="s">
        <v>78</v>
      </c>
      <c r="E7" s="19">
        <v>3.7499999999999999E-2</v>
      </c>
      <c r="F7" s="19">
        <f t="shared" ref="F7:F23" si="1">E7-E8</f>
        <v>0</v>
      </c>
      <c r="G7" s="19"/>
      <c r="H7" s="19">
        <v>129.34299999999999</v>
      </c>
      <c r="I7" s="19">
        <f t="shared" si="0"/>
        <v>3.2538497768765939E-2</v>
      </c>
      <c r="J7" s="19">
        <v>2.295295211914522E-2</v>
      </c>
      <c r="K7" s="19"/>
      <c r="L7" s="19">
        <v>4.3</v>
      </c>
      <c r="M7" s="19"/>
      <c r="N7" s="19"/>
      <c r="O7" s="19">
        <v>31865.721000000001</v>
      </c>
      <c r="P7" s="22">
        <f t="shared" ref="P7:P46" si="2">((O7/O9)^4)-1</f>
        <v>5.7622351295633534E-2</v>
      </c>
      <c r="Q7" s="19"/>
      <c r="R7" s="19"/>
      <c r="S7" s="22">
        <v>4.2999999999999997E-2</v>
      </c>
      <c r="T7" s="19"/>
    </row>
    <row r="8" spans="2:21" ht="15.75" thickBot="1" x14ac:dyDescent="0.3">
      <c r="B8" s="4">
        <v>2026</v>
      </c>
      <c r="C8" s="20" t="s">
        <v>65</v>
      </c>
      <c r="D8" s="20" t="s">
        <v>78</v>
      </c>
      <c r="E8" s="20">
        <v>3.7499999999999999E-2</v>
      </c>
      <c r="F8" s="20">
        <f>E8-E9</f>
        <v>0</v>
      </c>
      <c r="G8" s="20"/>
      <c r="H8" s="20">
        <v>128.45500000000001</v>
      </c>
      <c r="I8" s="20">
        <f t="shared" si="0"/>
        <v>3.1046577893359739E-2</v>
      </c>
      <c r="J8" s="20">
        <v>2.5863953676875981E-2</v>
      </c>
      <c r="K8" s="20"/>
      <c r="L8" s="20">
        <v>4.3</v>
      </c>
      <c r="M8" s="20"/>
      <c r="N8" s="20"/>
      <c r="O8" s="20">
        <v>31865.721000000001</v>
      </c>
      <c r="P8" s="21">
        <f t="shared" si="2"/>
        <v>5.7622351295633534E-2</v>
      </c>
      <c r="Q8" s="20"/>
      <c r="R8" s="20"/>
      <c r="S8" s="21">
        <v>4.2599999999999999E-2</v>
      </c>
      <c r="T8" s="20"/>
    </row>
    <row r="9" spans="2:21" ht="15.75" thickBot="1" x14ac:dyDescent="0.3">
      <c r="C9" s="19" t="s">
        <v>71</v>
      </c>
      <c r="D9" s="19" t="s">
        <v>81</v>
      </c>
      <c r="E9" s="19">
        <v>3.7499999999999999E-2</v>
      </c>
      <c r="F9" s="19">
        <f t="shared" si="1"/>
        <v>-2.5000000000000022E-3</v>
      </c>
      <c r="G9" s="19"/>
      <c r="H9" s="19">
        <v>127.886</v>
      </c>
      <c r="I9" s="19">
        <f t="shared" si="0"/>
        <v>2.9711101806821461E-2</v>
      </c>
      <c r="J9" s="19">
        <v>3.1928688431640158E-2</v>
      </c>
      <c r="K9" s="19"/>
      <c r="L9" s="19">
        <v>4.4000000000000004</v>
      </c>
      <c r="M9" s="19"/>
      <c r="N9" s="19"/>
      <c r="O9" s="19">
        <v>31422.526000000002</v>
      </c>
      <c r="P9" s="22">
        <f t="shared" si="2"/>
        <v>4.2396709705770252E-2</v>
      </c>
      <c r="Q9" s="19"/>
      <c r="R9" s="19"/>
      <c r="S9" s="22">
        <v>4.1799999999999997E-2</v>
      </c>
      <c r="T9" s="19"/>
    </row>
    <row r="10" spans="2:21" ht="15.75" thickBot="1" x14ac:dyDescent="0.3">
      <c r="C10" s="20" t="s">
        <v>74</v>
      </c>
      <c r="D10" s="20" t="s">
        <v>81</v>
      </c>
      <c r="E10" s="20">
        <v>0.04</v>
      </c>
      <c r="F10" s="20">
        <f t="shared" si="1"/>
        <v>-2.5000000000000022E-3</v>
      </c>
      <c r="G10" s="20"/>
      <c r="H10" s="20">
        <v>127.24299999999999</v>
      </c>
      <c r="I10" s="20">
        <f t="shared" si="0"/>
        <v>2.6467788515835533E-2</v>
      </c>
      <c r="J10" s="20">
        <v>2.7275976282644811E-2</v>
      </c>
      <c r="K10" s="20"/>
      <c r="L10" s="20" t="s">
        <v>88</v>
      </c>
      <c r="M10" s="20"/>
      <c r="N10" s="20"/>
      <c r="O10" s="20">
        <v>31422.526000000002</v>
      </c>
      <c r="P10" s="21">
        <f t="shared" si="2"/>
        <v>4.2396709705770252E-2</v>
      </c>
      <c r="Q10" s="20"/>
      <c r="R10" s="20"/>
      <c r="S10" s="21">
        <v>4.1100000000000005E-2</v>
      </c>
      <c r="T10" s="20"/>
    </row>
    <row r="11" spans="2:21" ht="15.75" thickBot="1" x14ac:dyDescent="0.3">
      <c r="C11" s="19" t="s">
        <v>70</v>
      </c>
      <c r="D11" s="19" t="s">
        <v>81</v>
      </c>
      <c r="E11" s="19">
        <v>4.2500000000000003E-2</v>
      </c>
      <c r="F11" s="19">
        <f t="shared" si="1"/>
        <v>-2.4999999999999953E-3</v>
      </c>
      <c r="G11" s="19"/>
      <c r="H11" s="19">
        <v>126.95399999999999</v>
      </c>
      <c r="I11" s="19">
        <f t="shared" si="0"/>
        <v>2.8250692498339669E-2</v>
      </c>
      <c r="J11" s="19">
        <v>2.8035993110409031E-2</v>
      </c>
      <c r="K11" s="19"/>
      <c r="L11" s="19">
        <v>4.4000000000000004</v>
      </c>
      <c r="M11" s="19"/>
      <c r="N11" s="19"/>
      <c r="O11" s="19">
        <v>31098.026999999998</v>
      </c>
      <c r="P11" s="22">
        <f t="shared" si="2"/>
        <v>8.2791920154416276E-2</v>
      </c>
      <c r="Q11" s="19"/>
      <c r="R11" s="19"/>
      <c r="S11" s="22">
        <v>4.1599999999999998E-2</v>
      </c>
      <c r="T11" s="19"/>
    </row>
    <row r="12" spans="2:21" ht="15.75" thickBot="1" x14ac:dyDescent="0.3">
      <c r="C12" s="20" t="s">
        <v>69</v>
      </c>
      <c r="D12" s="20" t="s">
        <v>78</v>
      </c>
      <c r="E12" s="20">
        <v>4.4999999999999998E-2</v>
      </c>
      <c r="F12" s="20">
        <f t="shared" si="1"/>
        <v>0</v>
      </c>
      <c r="G12" s="20"/>
      <c r="H12" s="20">
        <v>126.43</v>
      </c>
      <c r="I12" s="20">
        <f t="shared" si="0"/>
        <v>2.8630472455679401E-2</v>
      </c>
      <c r="J12" s="20">
        <v>2.7890472823845019E-2</v>
      </c>
      <c r="K12" s="20"/>
      <c r="L12" s="20">
        <v>4.3</v>
      </c>
      <c r="M12" s="20"/>
      <c r="N12" s="20"/>
      <c r="O12" s="20">
        <v>31098.026999999998</v>
      </c>
      <c r="P12" s="21">
        <f t="shared" si="2"/>
        <v>8.2791920154416276E-2</v>
      </c>
      <c r="Q12" s="20"/>
      <c r="R12" s="20"/>
      <c r="S12" s="21">
        <v>4.3700000000000003E-2</v>
      </c>
      <c r="T12" s="20"/>
    </row>
    <row r="13" spans="2:21" ht="15.75" thickBot="1" x14ac:dyDescent="0.3">
      <c r="C13" s="19" t="s">
        <v>68</v>
      </c>
      <c r="D13" s="19" t="s">
        <v>78</v>
      </c>
      <c r="E13" s="19">
        <v>4.4999999999999998E-2</v>
      </c>
      <c r="F13" s="19">
        <f t="shared" si="1"/>
        <v>0</v>
      </c>
      <c r="G13" s="19"/>
      <c r="H13" s="19">
        <v>126.121</v>
      </c>
      <c r="I13" s="19">
        <f t="shared" si="0"/>
        <v>2.8073722050588001E-2</v>
      </c>
      <c r="J13" s="19">
        <v>2.3805420229348988E-2</v>
      </c>
      <c r="K13" s="19"/>
      <c r="L13" s="19">
        <v>4.0999999999999996</v>
      </c>
      <c r="M13" s="19"/>
      <c r="N13" s="19"/>
      <c r="O13" s="19">
        <v>30485.728999999999</v>
      </c>
      <c r="P13" s="22">
        <f t="shared" si="2"/>
        <v>6.0387104113796886E-2</v>
      </c>
      <c r="Q13" s="19"/>
      <c r="R13" s="19"/>
      <c r="S13" s="22">
        <v>4.24E-2</v>
      </c>
      <c r="T13" s="19"/>
    </row>
    <row r="14" spans="2:21" ht="15.75" thickBot="1" x14ac:dyDescent="0.3">
      <c r="C14" s="20" t="s">
        <v>72</v>
      </c>
      <c r="D14" s="20" t="s">
        <v>78</v>
      </c>
      <c r="E14" s="20">
        <v>4.4999999999999998E-2</v>
      </c>
      <c r="F14" s="20">
        <f t="shared" si="1"/>
        <v>0</v>
      </c>
      <c r="G14" s="20"/>
      <c r="H14" s="20">
        <v>125.79</v>
      </c>
      <c r="I14" s="20">
        <f t="shared" si="0"/>
        <v>2.8502747252747263E-2</v>
      </c>
      <c r="J14" s="20">
        <v>2.6913372726495799E-2</v>
      </c>
      <c r="K14" s="20"/>
      <c r="L14" s="20">
        <v>4.3</v>
      </c>
      <c r="M14" s="20"/>
      <c r="N14" s="20"/>
      <c r="O14" s="20">
        <v>30485.728999999999</v>
      </c>
      <c r="P14" s="21">
        <f t="shared" si="2"/>
        <v>6.0387104113796886E-2</v>
      </c>
      <c r="Q14" s="20"/>
      <c r="R14" s="20"/>
      <c r="S14" s="21">
        <v>4.41E-2</v>
      </c>
      <c r="T14" s="20"/>
    </row>
    <row r="15" spans="2:21" ht="15.75" thickBot="1" x14ac:dyDescent="0.3">
      <c r="C15" s="19" t="s">
        <v>66</v>
      </c>
      <c r="D15" s="19" t="s">
        <v>78</v>
      </c>
      <c r="E15" s="19">
        <v>4.4999999999999998E-2</v>
      </c>
      <c r="F15" s="19">
        <f t="shared" si="1"/>
        <v>0</v>
      </c>
      <c r="G15" s="19"/>
      <c r="H15" s="19">
        <v>125.267</v>
      </c>
      <c r="I15" s="19">
        <f t="shared" si="0"/>
        <v>2.6702948143169758E-2</v>
      </c>
      <c r="J15" s="19">
        <v>2.183852723124486E-2</v>
      </c>
      <c r="K15" s="19"/>
      <c r="L15" s="19">
        <v>4.2</v>
      </c>
      <c r="M15" s="19"/>
      <c r="N15" s="19"/>
      <c r="O15" s="19">
        <v>30042.113000000001</v>
      </c>
      <c r="P15" s="22">
        <f t="shared" si="2"/>
        <v>2.9412627446436579E-2</v>
      </c>
      <c r="Q15" s="19"/>
      <c r="R15" s="19"/>
      <c r="S15" s="22">
        <v>4.2300000000000004E-2</v>
      </c>
      <c r="T15" s="19"/>
    </row>
    <row r="16" spans="2:21" ht="15.75" thickBot="1" x14ac:dyDescent="0.3">
      <c r="B16" s="4">
        <v>2025</v>
      </c>
      <c r="C16" s="20" t="s">
        <v>65</v>
      </c>
      <c r="D16" s="20" t="s">
        <v>78</v>
      </c>
      <c r="E16" s="20">
        <v>4.4999999999999998E-2</v>
      </c>
      <c r="F16" s="20">
        <f>E16-E17</f>
        <v>0</v>
      </c>
      <c r="G16" s="20"/>
      <c r="H16" s="20">
        <v>124.587</v>
      </c>
      <c r="I16" s="20">
        <f t="shared" si="0"/>
        <v>2.7801380994415092E-2</v>
      </c>
      <c r="J16" s="20">
        <v>2.6269584141710451E-2</v>
      </c>
      <c r="K16" s="20"/>
      <c r="L16" s="20">
        <v>4</v>
      </c>
      <c r="M16" s="20"/>
      <c r="N16" s="20"/>
      <c r="O16" s="20">
        <v>30042.113000000001</v>
      </c>
      <c r="P16" s="21">
        <f t="shared" si="2"/>
        <v>2.9412627446436579E-2</v>
      </c>
      <c r="Q16" s="20"/>
      <c r="R16" s="20"/>
      <c r="S16" s="21">
        <v>4.58E-2</v>
      </c>
      <c r="T16" s="20"/>
    </row>
    <row r="17" spans="2:20" ht="15.75" thickBot="1" x14ac:dyDescent="0.3">
      <c r="C17" s="19" t="s">
        <v>71</v>
      </c>
      <c r="D17" s="19" t="s">
        <v>81</v>
      </c>
      <c r="E17" s="19">
        <v>4.4999999999999998E-2</v>
      </c>
      <c r="F17" s="19">
        <f t="shared" si="1"/>
        <v>-2.5000000000000022E-3</v>
      </c>
      <c r="G17" s="19"/>
      <c r="H17" s="19">
        <v>124.196</v>
      </c>
      <c r="I17" s="19">
        <f t="shared" si="0"/>
        <v>2.9885896245190446E-2</v>
      </c>
      <c r="J17" s="19">
        <v>2.6503563435158209E-2</v>
      </c>
      <c r="K17" s="19"/>
      <c r="L17" s="19">
        <v>4.0999999999999996</v>
      </c>
      <c r="M17" s="19"/>
      <c r="N17" s="19"/>
      <c r="O17" s="19">
        <v>29825.182000000001</v>
      </c>
      <c r="P17" s="22">
        <f t="shared" si="2"/>
        <v>4.3176078240632298E-2</v>
      </c>
      <c r="Q17" s="19"/>
      <c r="R17" s="19"/>
      <c r="S17" s="22">
        <v>4.58E-2</v>
      </c>
      <c r="T17" s="19"/>
    </row>
    <row r="18" spans="2:20" ht="15.75" thickBot="1" x14ac:dyDescent="0.3">
      <c r="C18" s="20" t="s">
        <v>73</v>
      </c>
      <c r="D18" s="20" t="s">
        <v>81</v>
      </c>
      <c r="E18" s="20">
        <v>4.7500000000000001E-2</v>
      </c>
      <c r="F18" s="20">
        <f t="shared" si="1"/>
        <v>-2.5000000000000022E-3</v>
      </c>
      <c r="G18" s="20"/>
      <c r="H18" s="20">
        <v>123.962</v>
      </c>
      <c r="I18" s="20">
        <f t="shared" si="0"/>
        <v>3.0946183082309675E-2</v>
      </c>
      <c r="J18" s="20">
        <v>2.4316757969679439E-2</v>
      </c>
      <c r="K18" s="20"/>
      <c r="L18" s="20">
        <v>4.2</v>
      </c>
      <c r="M18" s="20"/>
      <c r="N18" s="20"/>
      <c r="O18" s="20">
        <v>29825.182000000001</v>
      </c>
      <c r="P18" s="21">
        <f t="shared" si="2"/>
        <v>4.3176078240632298E-2</v>
      </c>
      <c r="Q18" s="20"/>
      <c r="R18" s="20"/>
      <c r="S18" s="21">
        <v>4.1799999999999997E-2</v>
      </c>
      <c r="T18" s="20"/>
    </row>
    <row r="19" spans="2:20" ht="15.75" thickBot="1" x14ac:dyDescent="0.3">
      <c r="C19" s="19" t="s">
        <v>70</v>
      </c>
      <c r="D19" s="19" t="s">
        <v>81</v>
      </c>
      <c r="E19" s="19">
        <v>0.05</v>
      </c>
      <c r="F19" s="19">
        <f t="shared" si="1"/>
        <v>-4.9999999999999975E-3</v>
      </c>
      <c r="G19" s="19"/>
      <c r="H19" s="19">
        <v>123.46599999999999</v>
      </c>
      <c r="I19" s="19">
        <f t="shared" si="0"/>
        <v>2.8386279964683681E-2</v>
      </c>
      <c r="J19" s="19">
        <v>2.2361209148941338E-2</v>
      </c>
      <c r="K19" s="19"/>
      <c r="L19" s="19">
        <v>4.0999999999999996</v>
      </c>
      <c r="M19" s="19"/>
      <c r="N19" s="19"/>
      <c r="O19" s="19">
        <v>29511.664000000001</v>
      </c>
      <c r="P19" s="22">
        <f t="shared" si="2"/>
        <v>5.0985500168188036E-2</v>
      </c>
      <c r="Q19" s="19"/>
      <c r="R19" s="19"/>
      <c r="S19" s="22">
        <v>3.8100000000000002E-2</v>
      </c>
      <c r="T19" s="19"/>
    </row>
    <row r="20" spans="2:20" ht="15.75" thickBot="1" x14ac:dyDescent="0.3">
      <c r="C20" s="20" t="s">
        <v>69</v>
      </c>
      <c r="D20" s="20" t="s">
        <v>78</v>
      </c>
      <c r="E20" s="20">
        <v>5.5E-2</v>
      </c>
      <c r="F20" s="20">
        <f t="shared" si="1"/>
        <v>0</v>
      </c>
      <c r="G20" s="20"/>
      <c r="H20" s="20">
        <v>122.911</v>
      </c>
      <c r="I20" s="20">
        <f t="shared" si="0"/>
        <v>2.8062163337682744E-2</v>
      </c>
      <c r="J20" s="20">
        <v>2.5556443112034789E-2</v>
      </c>
      <c r="K20" s="20"/>
      <c r="L20" s="20">
        <v>4.2</v>
      </c>
      <c r="M20" s="20"/>
      <c r="N20" s="20"/>
      <c r="O20" s="20">
        <v>29511.664000000001</v>
      </c>
      <c r="P20" s="21">
        <f t="shared" si="2"/>
        <v>5.0985500168188036E-2</v>
      </c>
      <c r="Q20" s="20"/>
      <c r="R20" s="20"/>
      <c r="S20" s="21">
        <v>4.0899999999999999E-2</v>
      </c>
      <c r="T20" s="20"/>
    </row>
    <row r="21" spans="2:20" ht="15.75" thickBot="1" x14ac:dyDescent="0.3">
      <c r="C21" s="19" t="s">
        <v>68</v>
      </c>
      <c r="D21" s="19" t="s">
        <v>78</v>
      </c>
      <c r="E21" s="19">
        <v>5.5E-2</v>
      </c>
      <c r="F21" s="19">
        <f t="shared" si="1"/>
        <v>0</v>
      </c>
      <c r="G21" s="19"/>
      <c r="H21" s="19">
        <v>122.67700000000001</v>
      </c>
      <c r="I21" s="19">
        <f t="shared" si="0"/>
        <v>2.7531619063573265E-2</v>
      </c>
      <c r="J21" s="19">
        <v>2.7258401993137241E-2</v>
      </c>
      <c r="K21" s="19"/>
      <c r="L21" s="19">
        <v>4.0999999999999996</v>
      </c>
      <c r="M21" s="19"/>
      <c r="N21" s="19"/>
      <c r="O21" s="19">
        <v>29147.044000000002</v>
      </c>
      <c r="P21" s="22">
        <f t="shared" si="2"/>
        <v>6.2567610885265079E-2</v>
      </c>
      <c r="Q21" s="19"/>
      <c r="R21" s="19"/>
      <c r="S21" s="22">
        <v>4.36E-2</v>
      </c>
      <c r="T21" s="19"/>
    </row>
    <row r="22" spans="2:20" ht="15.75" thickBot="1" x14ac:dyDescent="0.3">
      <c r="C22" s="20" t="s">
        <v>67</v>
      </c>
      <c r="D22" s="20" t="s">
        <v>78</v>
      </c>
      <c r="E22" s="20">
        <v>5.5E-2</v>
      </c>
      <c r="F22" s="20">
        <f t="shared" si="1"/>
        <v>0</v>
      </c>
      <c r="G22" s="20"/>
      <c r="H22" s="20">
        <v>122.304</v>
      </c>
      <c r="I22" s="20">
        <f t="shared" si="0"/>
        <v>2.7048361227043349E-2</v>
      </c>
      <c r="J22" s="20">
        <v>2.7043668746998598E-2</v>
      </c>
      <c r="K22" s="20"/>
      <c r="L22" s="20">
        <v>3.9</v>
      </c>
      <c r="M22" s="20"/>
      <c r="N22" s="20"/>
      <c r="O22" s="20">
        <v>29147.044000000002</v>
      </c>
      <c r="P22" s="21">
        <f t="shared" si="2"/>
        <v>6.2567610885265079E-2</v>
      </c>
      <c r="Q22" s="20"/>
      <c r="R22" s="20"/>
      <c r="S22" s="21">
        <v>4.6900000000000004E-2</v>
      </c>
      <c r="T22" s="20"/>
    </row>
    <row r="23" spans="2:20" ht="15.75" thickBot="1" x14ac:dyDescent="0.3">
      <c r="C23" s="19" t="s">
        <v>66</v>
      </c>
      <c r="D23" s="19" t="s">
        <v>78</v>
      </c>
      <c r="E23" s="19">
        <v>5.5E-2</v>
      </c>
      <c r="F23" s="19">
        <f t="shared" si="1"/>
        <v>0</v>
      </c>
      <c r="G23" s="19"/>
      <c r="H23" s="19">
        <v>122.009</v>
      </c>
      <c r="I23" s="19">
        <f t="shared" si="0"/>
        <v>3.1221738579216618E-2</v>
      </c>
      <c r="J23" s="19">
        <v>2.0822133302478289E-2</v>
      </c>
      <c r="K23" s="19"/>
      <c r="L23" s="19">
        <v>3.9</v>
      </c>
      <c r="M23" s="19"/>
      <c r="N23" s="19"/>
      <c r="O23" s="19">
        <v>28708.161</v>
      </c>
      <c r="P23" s="22">
        <f t="shared" si="2"/>
        <v>4.048683387268559E-2</v>
      </c>
      <c r="Q23" s="19"/>
      <c r="R23" s="19"/>
      <c r="S23" s="22">
        <v>4.2000000000000003E-2</v>
      </c>
      <c r="T23" s="19"/>
    </row>
    <row r="24" spans="2:20" ht="15.75" thickBot="1" x14ac:dyDescent="0.3">
      <c r="B24" s="4">
        <v>2024</v>
      </c>
      <c r="C24" s="20" t="s">
        <v>65</v>
      </c>
      <c r="D24" s="20" t="s">
        <v>78</v>
      </c>
      <c r="E24" s="20">
        <v>5.5E-2</v>
      </c>
      <c r="F24" s="20">
        <f>E24-E25</f>
        <v>0</v>
      </c>
      <c r="G24" s="20"/>
      <c r="H24" s="20">
        <v>121.217</v>
      </c>
      <c r="I24" s="20">
        <f t="shared" si="0"/>
        <v>2.7881182745550293E-2</v>
      </c>
      <c r="J24" s="20">
        <v>2.4186325609635202E-2</v>
      </c>
      <c r="K24" s="20"/>
      <c r="L24" s="20">
        <v>3.7</v>
      </c>
      <c r="M24" s="20"/>
      <c r="N24" s="20"/>
      <c r="O24" s="20">
        <v>28708.161</v>
      </c>
      <c r="P24" s="21">
        <f t="shared" si="2"/>
        <v>4.048683387268559E-2</v>
      </c>
      <c r="Q24" s="20"/>
      <c r="R24" s="20"/>
      <c r="S24" s="21">
        <v>3.9900000000000005E-2</v>
      </c>
      <c r="T24" s="20"/>
    </row>
    <row r="25" spans="2:20" ht="15.75" thickBot="1" x14ac:dyDescent="0.3">
      <c r="C25" s="19" t="s">
        <v>71</v>
      </c>
      <c r="D25" s="19" t="s">
        <v>78</v>
      </c>
      <c r="E25" s="19">
        <v>5.5E-2</v>
      </c>
      <c r="F25" s="19">
        <f t="shared" ref="F25:F31" si="3">E25-E26</f>
        <v>0</v>
      </c>
      <c r="G25" s="19"/>
      <c r="H25" s="19">
        <v>120.592</v>
      </c>
      <c r="I25" s="19">
        <f t="shared" si="0"/>
        <v>3.1123879882344996E-2</v>
      </c>
      <c r="J25" s="19">
        <v>3.0916649890522039E-2</v>
      </c>
      <c r="K25" s="19"/>
      <c r="L25" s="19">
        <v>3.8</v>
      </c>
      <c r="M25" s="19"/>
      <c r="N25" s="19"/>
      <c r="O25" s="19">
        <v>28424.722000000002</v>
      </c>
      <c r="P25" s="22">
        <f t="shared" si="2"/>
        <v>5.0788649135108166E-2</v>
      </c>
      <c r="Q25" s="19"/>
      <c r="R25" s="19"/>
      <c r="S25" s="22">
        <v>3.8800000000000001E-2</v>
      </c>
      <c r="T25" s="19"/>
    </row>
    <row r="26" spans="2:20" ht="15.75" thickBot="1" x14ac:dyDescent="0.3">
      <c r="C26" s="20" t="s">
        <v>74</v>
      </c>
      <c r="D26" s="20" t="s">
        <v>78</v>
      </c>
      <c r="E26" s="20">
        <v>5.5E-2</v>
      </c>
      <c r="F26" s="20">
        <f t="shared" si="3"/>
        <v>0</v>
      </c>
      <c r="G26" s="20"/>
      <c r="H26" s="20">
        <v>120.241</v>
      </c>
      <c r="I26" s="20">
        <f t="shared" si="0"/>
        <v>3.1766189859188776E-2</v>
      </c>
      <c r="J26" s="20">
        <v>2.7695736718636739E-2</v>
      </c>
      <c r="K26" s="20"/>
      <c r="L26" s="20">
        <v>3.9</v>
      </c>
      <c r="M26" s="20"/>
      <c r="N26" s="20"/>
      <c r="O26" s="20">
        <v>28424.722000000002</v>
      </c>
      <c r="P26" s="21">
        <f t="shared" si="2"/>
        <v>5.0788649135108166E-2</v>
      </c>
      <c r="Q26" s="20"/>
      <c r="R26" s="20"/>
      <c r="S26" s="21">
        <v>4.8799999999999996E-2</v>
      </c>
      <c r="T26" s="20"/>
    </row>
    <row r="27" spans="2:20" ht="15.75" thickBot="1" x14ac:dyDescent="0.3">
      <c r="C27" s="19" t="s">
        <v>70</v>
      </c>
      <c r="D27" s="19" t="s">
        <v>78</v>
      </c>
      <c r="E27" s="19">
        <v>5.5E-2</v>
      </c>
      <c r="F27" s="19">
        <f t="shared" si="3"/>
        <v>0</v>
      </c>
      <c r="G27" s="19"/>
      <c r="H27" s="19">
        <v>120.05800000000001</v>
      </c>
      <c r="I27" s="19">
        <f t="shared" si="0"/>
        <v>3.6877742080353881E-2</v>
      </c>
      <c r="J27" s="19">
        <v>2.81243484377258E-2</v>
      </c>
      <c r="K27" s="19"/>
      <c r="L27" s="19">
        <v>3.7</v>
      </c>
      <c r="M27" s="19"/>
      <c r="N27" s="19"/>
      <c r="O27" s="19">
        <v>28074.846000000001</v>
      </c>
      <c r="P27" s="22">
        <f t="shared" si="2"/>
        <v>8.1536584417283953E-2</v>
      </c>
      <c r="Q27" s="19"/>
      <c r="R27" s="19"/>
      <c r="S27" s="22">
        <v>4.5899999999999996E-2</v>
      </c>
      <c r="T27" s="19"/>
    </row>
    <row r="28" spans="2:20" ht="15.75" thickBot="1" x14ac:dyDescent="0.3">
      <c r="C28" s="20" t="s">
        <v>69</v>
      </c>
      <c r="D28" s="20" t="s">
        <v>79</v>
      </c>
      <c r="E28" s="20">
        <v>5.5E-2</v>
      </c>
      <c r="F28" s="20">
        <f t="shared" si="3"/>
        <v>2.5000000000000022E-3</v>
      </c>
      <c r="G28" s="20"/>
      <c r="H28" s="20">
        <v>119.556</v>
      </c>
      <c r="I28" s="20">
        <f t="shared" si="0"/>
        <v>4.2991241232508637E-2</v>
      </c>
      <c r="J28" s="20">
        <v>2.4743165315977741E-2</v>
      </c>
      <c r="K28" s="20"/>
      <c r="L28" s="20">
        <v>3.5</v>
      </c>
      <c r="M28" s="20"/>
      <c r="N28" s="20"/>
      <c r="O28" s="20">
        <v>28074.846000000001</v>
      </c>
      <c r="P28" s="21">
        <f t="shared" si="2"/>
        <v>8.1536584417283953E-2</v>
      </c>
      <c r="Q28" s="20"/>
      <c r="R28" s="20"/>
      <c r="S28" s="21">
        <v>3.9699999999999999E-2</v>
      </c>
      <c r="T28" s="20"/>
    </row>
    <row r="29" spans="2:20" ht="15.75" thickBot="1" x14ac:dyDescent="0.3">
      <c r="C29" s="19" t="s">
        <v>68</v>
      </c>
      <c r="D29" s="19" t="s">
        <v>78</v>
      </c>
      <c r="E29" s="19">
        <v>5.2499999999999998E-2</v>
      </c>
      <c r="F29" s="19">
        <f t="shared" si="3"/>
        <v>0</v>
      </c>
      <c r="G29" s="19"/>
      <c r="H29" s="19">
        <v>119.39</v>
      </c>
      <c r="I29" s="19">
        <f t="shared" si="0"/>
        <v>4.3837868084213527E-2</v>
      </c>
      <c r="J29" s="19">
        <v>1.366262544020564E-2</v>
      </c>
      <c r="K29" s="19"/>
      <c r="L29" s="19">
        <v>3.6</v>
      </c>
      <c r="M29" s="19"/>
      <c r="N29" s="19"/>
      <c r="O29" s="19">
        <v>27530.055</v>
      </c>
      <c r="P29" s="22">
        <f t="shared" si="2"/>
        <v>4.6894039769784124E-2</v>
      </c>
      <c r="Q29" s="19"/>
      <c r="R29" s="19"/>
      <c r="S29" s="22">
        <v>3.8100000000000002E-2</v>
      </c>
      <c r="T29" s="19"/>
    </row>
    <row r="30" spans="2:20" ht="15.75" thickBot="1" x14ac:dyDescent="0.3">
      <c r="C30" s="20" t="s">
        <v>72</v>
      </c>
      <c r="D30" s="20" t="s">
        <v>79</v>
      </c>
      <c r="E30" s="20">
        <v>5.2499999999999998E-2</v>
      </c>
      <c r="F30" s="20">
        <f t="shared" si="3"/>
        <v>2.4999999999999953E-3</v>
      </c>
      <c r="G30" s="20"/>
      <c r="H30" s="20">
        <v>119.083</v>
      </c>
      <c r="I30" s="20">
        <f t="shared" si="0"/>
        <v>4.7316253748801662E-2</v>
      </c>
      <c r="J30" s="20">
        <v>2.6536385712347722E-2</v>
      </c>
      <c r="K30" s="20"/>
      <c r="L30" s="20">
        <v>3.6</v>
      </c>
      <c r="M30" s="20"/>
      <c r="N30" s="20"/>
      <c r="O30" s="20">
        <v>27530.055</v>
      </c>
      <c r="P30" s="21">
        <f t="shared" si="2"/>
        <v>4.6894039769784124E-2</v>
      </c>
      <c r="Q30" s="20"/>
      <c r="R30" s="20"/>
      <c r="S30" s="21">
        <v>3.6400000000000002E-2</v>
      </c>
      <c r="T30" s="20"/>
    </row>
    <row r="31" spans="2:20" ht="15.75" thickBot="1" x14ac:dyDescent="0.3">
      <c r="C31" s="19" t="s">
        <v>66</v>
      </c>
      <c r="D31" s="19" t="s">
        <v>79</v>
      </c>
      <c r="E31" s="19">
        <v>0.05</v>
      </c>
      <c r="F31" s="19">
        <f t="shared" si="3"/>
        <v>2.5000000000000022E-3</v>
      </c>
      <c r="G31" s="19"/>
      <c r="H31" s="19">
        <v>118.315</v>
      </c>
      <c r="I31" s="19">
        <f t="shared" si="0"/>
        <v>4.7832863949554438E-2</v>
      </c>
      <c r="J31" s="19">
        <v>2.0732508657592331E-2</v>
      </c>
      <c r="K31" s="19"/>
      <c r="L31" s="19">
        <v>3.5</v>
      </c>
      <c r="M31" s="19"/>
      <c r="N31" s="19"/>
      <c r="O31" s="19">
        <v>27216.445</v>
      </c>
      <c r="P31" s="22">
        <f t="shared" si="2"/>
        <v>6.8313581417842606E-2</v>
      </c>
      <c r="Q31" s="19"/>
      <c r="R31" s="19"/>
      <c r="S31" s="22">
        <v>3.4799999999999998E-2</v>
      </c>
      <c r="T31" s="19"/>
    </row>
    <row r="32" spans="2:20" ht="15.75" thickBot="1" x14ac:dyDescent="0.3">
      <c r="B32" s="4">
        <v>2023</v>
      </c>
      <c r="C32" s="20" t="s">
        <v>80</v>
      </c>
      <c r="D32" s="20" t="s">
        <v>79</v>
      </c>
      <c r="E32" s="20">
        <v>4.7500000000000001E-2</v>
      </c>
      <c r="F32" s="20">
        <f>E32-E33</f>
        <v>2.5000000000000022E-3</v>
      </c>
      <c r="G32" s="20"/>
      <c r="H32" s="20">
        <v>117.929</v>
      </c>
      <c r="I32" s="20">
        <f t="shared" si="0"/>
        <v>5.3163177823819519E-2</v>
      </c>
      <c r="J32" s="20">
        <v>2.6130894604456799E-2</v>
      </c>
      <c r="K32" s="20"/>
      <c r="L32" s="20">
        <v>3.6</v>
      </c>
      <c r="M32" s="20"/>
      <c r="N32" s="20"/>
      <c r="O32" s="20">
        <v>27216.445</v>
      </c>
      <c r="P32" s="21">
        <f t="shared" si="2"/>
        <v>6.8313581417842606E-2</v>
      </c>
      <c r="Q32" s="20"/>
      <c r="R32" s="20"/>
      <c r="S32" s="21">
        <v>3.9199999999999999E-2</v>
      </c>
      <c r="T32" s="20"/>
    </row>
    <row r="33" spans="2:20" ht="15.75" thickBot="1" x14ac:dyDescent="0.3">
      <c r="C33" s="19" t="s">
        <v>71</v>
      </c>
      <c r="D33" s="19" t="s">
        <v>79</v>
      </c>
      <c r="E33" s="19">
        <v>4.4999999999999998E-2</v>
      </c>
      <c r="F33" s="19">
        <f t="shared" ref="F33:F39" si="4">E33-E34</f>
        <v>4.9999999999999975E-3</v>
      </c>
      <c r="G33" s="19"/>
      <c r="H33" s="19">
        <v>116.952</v>
      </c>
      <c r="I33" s="19">
        <f t="shared" si="0"/>
        <v>4.9668814733705435E-2</v>
      </c>
      <c r="J33" s="19">
        <v>2.8681191792107409E-2</v>
      </c>
      <c r="K33" s="19"/>
      <c r="L33" s="19">
        <v>3.5</v>
      </c>
      <c r="M33" s="19"/>
      <c r="N33" s="19"/>
      <c r="O33" s="19">
        <v>26770.513999999999</v>
      </c>
      <c r="P33" s="22">
        <f t="shared" si="2"/>
        <v>6.7597462299230138E-2</v>
      </c>
      <c r="Q33" s="19"/>
      <c r="R33" s="19"/>
      <c r="S33" s="22">
        <v>3.8800000000000001E-2</v>
      </c>
      <c r="T33" s="19"/>
    </row>
    <row r="34" spans="2:20" ht="15.75" thickBot="1" x14ac:dyDescent="0.3">
      <c r="C34" s="20" t="s">
        <v>73</v>
      </c>
      <c r="D34" s="20" t="s">
        <v>79</v>
      </c>
      <c r="E34" s="20">
        <v>0.04</v>
      </c>
      <c r="F34" s="20">
        <f t="shared" si="4"/>
        <v>7.4999999999999997E-3</v>
      </c>
      <c r="G34" s="20"/>
      <c r="H34" s="20">
        <v>116.539</v>
      </c>
      <c r="I34" s="20">
        <f t="shared" si="0"/>
        <v>5.2080888327164399E-2</v>
      </c>
      <c r="J34" s="20">
        <v>3.2390483904257722E-2</v>
      </c>
      <c r="K34" s="20"/>
      <c r="L34" s="20">
        <v>3.6</v>
      </c>
      <c r="M34" s="20"/>
      <c r="N34" s="20"/>
      <c r="O34" s="20">
        <v>26770.513999999999</v>
      </c>
      <c r="P34" s="21">
        <f t="shared" si="2"/>
        <v>6.7597462299230138E-2</v>
      </c>
      <c r="Q34" s="20"/>
      <c r="R34" s="20"/>
      <c r="S34" s="21">
        <v>3.6799999999999999E-2</v>
      </c>
      <c r="T34" s="20"/>
    </row>
    <row r="35" spans="2:20" ht="15.75" thickBot="1" x14ac:dyDescent="0.3">
      <c r="C35" s="19" t="s">
        <v>70</v>
      </c>
      <c r="D35" s="19" t="s">
        <v>79</v>
      </c>
      <c r="E35" s="19">
        <v>3.2500000000000001E-2</v>
      </c>
      <c r="F35" s="19">
        <f t="shared" si="4"/>
        <v>7.4999999999999997E-3</v>
      </c>
      <c r="G35" s="19"/>
      <c r="H35" s="19">
        <v>115.788</v>
      </c>
      <c r="I35" s="19">
        <f t="shared" si="0"/>
        <v>5.6064793279886116E-2</v>
      </c>
      <c r="J35" s="19">
        <v>4.1791496909556247E-2</v>
      </c>
      <c r="K35" s="19"/>
      <c r="L35" s="19">
        <v>3.5</v>
      </c>
      <c r="M35" s="19"/>
      <c r="N35" s="19"/>
      <c r="O35" s="19">
        <v>26336.304</v>
      </c>
      <c r="P35" s="22">
        <f t="shared" si="2"/>
        <v>7.55198612507606E-2</v>
      </c>
      <c r="Q35" s="19"/>
      <c r="R35" s="19"/>
      <c r="S35" s="22">
        <v>3.8300000000000001E-2</v>
      </c>
      <c r="T35" s="19"/>
    </row>
    <row r="36" spans="2:20" ht="15.75" thickBot="1" x14ac:dyDescent="0.3">
      <c r="C36" s="20" t="s">
        <v>69</v>
      </c>
      <c r="D36" s="20" t="s">
        <v>79</v>
      </c>
      <c r="E36" s="20">
        <v>2.5000000000000001E-2</v>
      </c>
      <c r="F36" s="20">
        <f t="shared" si="4"/>
        <v>7.4999999999999997E-3</v>
      </c>
      <c r="G36" s="20"/>
      <c r="H36" s="20">
        <v>114.628</v>
      </c>
      <c r="I36" s="20">
        <f t="shared" si="0"/>
        <v>5.1073740578407856E-2</v>
      </c>
      <c r="J36" s="20">
        <v>3.3092776951833699E-2</v>
      </c>
      <c r="K36" s="20"/>
      <c r="L36" s="20">
        <v>3.5</v>
      </c>
      <c r="M36" s="20"/>
      <c r="N36" s="20"/>
      <c r="O36" s="20">
        <v>26336.304</v>
      </c>
      <c r="P36" s="21">
        <f t="shared" si="2"/>
        <v>7.55198612507606E-2</v>
      </c>
      <c r="Q36" s="20"/>
      <c r="R36" s="20"/>
      <c r="S36" s="21">
        <v>2.6699999999999998E-2</v>
      </c>
      <c r="T36" s="20"/>
    </row>
    <row r="37" spans="2:20" ht="15.75" thickBot="1" x14ac:dyDescent="0.3">
      <c r="C37" s="19" t="s">
        <v>68</v>
      </c>
      <c r="D37" s="19" t="s">
        <v>79</v>
      </c>
      <c r="E37" s="19">
        <v>1.7500000000000002E-2</v>
      </c>
      <c r="F37" s="19">
        <f t="shared" si="4"/>
        <v>7.5000000000000015E-3</v>
      </c>
      <c r="G37" s="19"/>
      <c r="H37" s="19">
        <v>114.376</v>
      </c>
      <c r="I37" s="19">
        <f t="shared" si="0"/>
        <v>5.3156910950894698E-2</v>
      </c>
      <c r="J37" s="19">
        <v>4.2267133748399272E-2</v>
      </c>
      <c r="K37" s="19"/>
      <c r="L37" s="19">
        <v>3.6</v>
      </c>
      <c r="M37" s="19"/>
      <c r="N37" s="19"/>
      <c r="O37" s="19">
        <v>25861.292000000001</v>
      </c>
      <c r="P37" s="22">
        <f t="shared" si="2"/>
        <v>0.1003515733756386</v>
      </c>
      <c r="Q37" s="19"/>
      <c r="R37" s="19"/>
      <c r="S37" s="22">
        <v>2.98E-2</v>
      </c>
      <c r="T37" s="19"/>
    </row>
    <row r="38" spans="2:20" ht="15.75" thickBot="1" x14ac:dyDescent="0.3">
      <c r="C38" s="20" t="s">
        <v>72</v>
      </c>
      <c r="D38" s="20" t="s">
        <v>79</v>
      </c>
      <c r="E38" s="20">
        <v>0.01</v>
      </c>
      <c r="F38" s="20">
        <f t="shared" si="4"/>
        <v>5.0000000000000001E-3</v>
      </c>
      <c r="G38" s="20"/>
      <c r="H38" s="20">
        <v>113.703</v>
      </c>
      <c r="I38" s="20">
        <f t="shared" si="0"/>
        <v>5.7131966009037027E-2</v>
      </c>
      <c r="J38" s="20">
        <v>3.6346578458562137E-2</v>
      </c>
      <c r="K38" s="20"/>
      <c r="L38" s="20">
        <v>3.6</v>
      </c>
      <c r="M38" s="20"/>
      <c r="N38" s="20"/>
      <c r="O38" s="20">
        <v>25861.292000000001</v>
      </c>
      <c r="P38" s="21">
        <f t="shared" si="2"/>
        <v>0.1003515733756386</v>
      </c>
      <c r="Q38" s="20"/>
      <c r="R38" s="20"/>
      <c r="S38" s="21">
        <v>2.8500000000000001E-2</v>
      </c>
      <c r="T38" s="20"/>
    </row>
    <row r="39" spans="2:20" ht="15.75" thickBot="1" x14ac:dyDescent="0.3">
      <c r="C39" s="19" t="s">
        <v>66</v>
      </c>
      <c r="D39" s="19" t="s">
        <v>79</v>
      </c>
      <c r="E39" s="19">
        <v>5.0000000000000001E-3</v>
      </c>
      <c r="F39" s="19">
        <f t="shared" si="4"/>
        <v>2.5000000000000001E-3</v>
      </c>
      <c r="G39" s="19"/>
      <c r="H39" s="19">
        <v>112.914</v>
      </c>
      <c r="I39" s="19">
        <f t="shared" si="0"/>
        <v>5.5932219240084846E-2</v>
      </c>
      <c r="J39" s="19">
        <v>3.0576988299021911E-2</v>
      </c>
      <c r="K39" s="19"/>
      <c r="L39" s="19">
        <v>3.7</v>
      </c>
      <c r="M39" s="19"/>
      <c r="N39" s="19"/>
      <c r="O39" s="19">
        <v>25250.347000000002</v>
      </c>
      <c r="P39" s="22">
        <f t="shared" si="2"/>
        <v>7.2285158105683589E-2</v>
      </c>
      <c r="Q39" s="19"/>
      <c r="R39" s="19"/>
      <c r="S39" s="22">
        <v>2.3199999999999998E-2</v>
      </c>
      <c r="T39" s="19"/>
    </row>
    <row r="40" spans="2:20" ht="15.75" thickBot="1" x14ac:dyDescent="0.3">
      <c r="B40" s="4">
        <v>2022</v>
      </c>
      <c r="C40" s="20" t="s">
        <v>65</v>
      </c>
      <c r="D40" s="20" t="s">
        <v>78</v>
      </c>
      <c r="E40" s="20">
        <v>2.5000000000000001E-3</v>
      </c>
      <c r="F40" s="20">
        <f>E40-E41</f>
        <v>0</v>
      </c>
      <c r="G40" s="20"/>
      <c r="H40" s="20">
        <v>111.976</v>
      </c>
      <c r="I40" s="20">
        <f t="shared" si="0"/>
        <v>5.3584365973221804E-2</v>
      </c>
      <c r="J40" s="20">
        <v>2.2417584823726008E-2</v>
      </c>
      <c r="K40" s="20"/>
      <c r="L40" s="20">
        <v>4</v>
      </c>
      <c r="M40" s="20"/>
      <c r="N40" s="20"/>
      <c r="O40" s="20">
        <v>25250.347000000002</v>
      </c>
      <c r="P40" s="21">
        <f t="shared" si="2"/>
        <v>7.2285158105683589E-2</v>
      </c>
      <c r="Q40" s="20"/>
      <c r="R40" s="20"/>
      <c r="S40" s="21">
        <v>1.7899999999999999E-2</v>
      </c>
      <c r="T40" s="20"/>
    </row>
    <row r="41" spans="2:20" ht="15.75" thickBot="1" x14ac:dyDescent="0.3">
      <c r="B41" s="4"/>
      <c r="C41" s="19" t="s">
        <v>71</v>
      </c>
      <c r="D41" s="19" t="s">
        <v>78</v>
      </c>
      <c r="E41" s="19">
        <v>2.5000000000000001E-3</v>
      </c>
      <c r="F41" s="19">
        <f t="shared" ref="F41:F47" si="5">E41-E42</f>
        <v>0</v>
      </c>
      <c r="G41" s="19"/>
      <c r="H41" s="19">
        <v>111.41800000000001</v>
      </c>
      <c r="I41" s="19"/>
      <c r="J41" s="19">
        <v>2.620308612577436E-2</v>
      </c>
      <c r="K41" s="19"/>
      <c r="L41" s="19">
        <v>3.9</v>
      </c>
      <c r="M41" s="19"/>
      <c r="N41" s="19"/>
      <c r="O41" s="19">
        <v>24813.599999999999</v>
      </c>
      <c r="P41" s="22">
        <f t="shared" si="2"/>
        <v>0.14601436191622374</v>
      </c>
      <c r="Q41" s="19"/>
      <c r="R41" s="19"/>
      <c r="S41" s="22">
        <v>1.52E-2</v>
      </c>
      <c r="T41" s="19"/>
    </row>
    <row r="42" spans="2:20" ht="15.75" thickBot="1" x14ac:dyDescent="0.3">
      <c r="B42" s="4"/>
      <c r="C42" s="20" t="s">
        <v>73</v>
      </c>
      <c r="D42" s="20" t="s">
        <v>78</v>
      </c>
      <c r="E42" s="20">
        <v>2.5000000000000001E-3</v>
      </c>
      <c r="F42" s="20">
        <f t="shared" si="5"/>
        <v>0</v>
      </c>
      <c r="G42" s="20"/>
      <c r="H42" s="20">
        <v>110.77</v>
      </c>
      <c r="I42" s="20"/>
      <c r="J42" s="20">
        <v>2.479840496408332E-2</v>
      </c>
      <c r="K42" s="20"/>
      <c r="L42" s="20">
        <v>4.0999999999999996</v>
      </c>
      <c r="M42" s="20"/>
      <c r="N42" s="20"/>
      <c r="O42" s="20">
        <v>24813.599999999999</v>
      </c>
      <c r="P42" s="21">
        <f t="shared" si="2"/>
        <v>0.14601436191622374</v>
      </c>
      <c r="Q42" s="20"/>
      <c r="R42" s="20"/>
      <c r="S42" s="21">
        <v>1.43E-2</v>
      </c>
      <c r="T42" s="20"/>
    </row>
    <row r="43" spans="2:20" ht="15.75" thickBot="1" x14ac:dyDescent="0.3">
      <c r="B43" s="4"/>
      <c r="C43" s="19" t="s">
        <v>70</v>
      </c>
      <c r="D43" s="19" t="s">
        <v>78</v>
      </c>
      <c r="E43" s="19">
        <v>2.5000000000000001E-3</v>
      </c>
      <c r="F43" s="19">
        <f t="shared" si="5"/>
        <v>0</v>
      </c>
      <c r="G43" s="19"/>
      <c r="H43" s="19">
        <v>109.64100000000001</v>
      </c>
      <c r="I43" s="19"/>
      <c r="J43" s="19">
        <v>2.684137125641366E-2</v>
      </c>
      <c r="K43" s="19"/>
      <c r="L43" s="19">
        <v>4.7</v>
      </c>
      <c r="M43" s="19"/>
      <c r="N43" s="19"/>
      <c r="O43" s="19">
        <v>23982.379000000001</v>
      </c>
      <c r="P43" s="22">
        <f t="shared" si="2"/>
        <v>9.8457266482532724E-2</v>
      </c>
      <c r="Q43" s="19"/>
      <c r="R43" s="19"/>
      <c r="S43" s="22">
        <v>1.52E-2</v>
      </c>
      <c r="T43" s="19"/>
    </row>
    <row r="44" spans="2:20" ht="15.75" thickBot="1" x14ac:dyDescent="0.3">
      <c r="B44" s="4"/>
      <c r="C44" s="20" t="s">
        <v>69</v>
      </c>
      <c r="D44" s="20" t="s">
        <v>78</v>
      </c>
      <c r="E44" s="20">
        <v>2.5000000000000001E-3</v>
      </c>
      <c r="F44" s="20">
        <f t="shared" si="5"/>
        <v>0</v>
      </c>
      <c r="G44" s="20"/>
      <c r="H44" s="20">
        <v>109.05800000000001</v>
      </c>
      <c r="I44" s="20"/>
      <c r="J44" s="20">
        <v>2.0731161156649448E-2</v>
      </c>
      <c r="K44" s="20"/>
      <c r="L44" s="20">
        <v>5.4</v>
      </c>
      <c r="M44" s="20"/>
      <c r="N44" s="20"/>
      <c r="O44" s="20">
        <v>23982.379000000001</v>
      </c>
      <c r="P44" s="21">
        <f t="shared" si="2"/>
        <v>9.8457266482532724E-2</v>
      </c>
      <c r="Q44" s="20"/>
      <c r="R44" s="20"/>
      <c r="S44" s="21">
        <v>1.24E-2</v>
      </c>
      <c r="T44" s="20"/>
    </row>
    <row r="45" spans="2:20" ht="15.75" thickBot="1" x14ac:dyDescent="0.3">
      <c r="B45" s="4"/>
      <c r="C45" s="19" t="s">
        <v>68</v>
      </c>
      <c r="D45" s="19" t="s">
        <v>78</v>
      </c>
      <c r="E45" s="19">
        <v>2.5000000000000001E-3</v>
      </c>
      <c r="F45" s="19">
        <f t="shared" si="5"/>
        <v>0</v>
      </c>
      <c r="G45" s="19"/>
      <c r="H45" s="19">
        <v>108.60299999999999</v>
      </c>
      <c r="I45" s="19"/>
      <c r="J45" s="19">
        <v>2.055188590012581E-2</v>
      </c>
      <c r="K45" s="19"/>
      <c r="L45" s="19">
        <v>5.9</v>
      </c>
      <c r="M45" s="19"/>
      <c r="N45" s="19"/>
      <c r="O45" s="19">
        <v>23425.91</v>
      </c>
      <c r="P45" s="22">
        <f t="shared" si="2"/>
        <v>0.13804805593643565</v>
      </c>
      <c r="Q45" s="19"/>
      <c r="R45" s="19"/>
      <c r="S45" s="22">
        <v>1.4499999999999999E-2</v>
      </c>
      <c r="T45" s="19"/>
    </row>
    <row r="46" spans="2:20" ht="15.75" thickBot="1" x14ac:dyDescent="0.3">
      <c r="B46" s="4"/>
      <c r="C46" s="20" t="s">
        <v>67</v>
      </c>
      <c r="D46" s="20" t="s">
        <v>78</v>
      </c>
      <c r="E46" s="20">
        <v>2.5000000000000001E-3</v>
      </c>
      <c r="F46" s="20">
        <f t="shared" si="5"/>
        <v>0</v>
      </c>
      <c r="G46" s="20"/>
      <c r="H46" s="20">
        <v>107.55800000000001</v>
      </c>
      <c r="I46" s="20"/>
      <c r="J46" s="20">
        <v>1.7547173596944039E-2</v>
      </c>
      <c r="K46" s="20"/>
      <c r="L46" s="20">
        <v>6.1</v>
      </c>
      <c r="M46" s="20"/>
      <c r="N46" s="20"/>
      <c r="O46" s="20">
        <v>23425.91</v>
      </c>
      <c r="P46" s="21">
        <f t="shared" si="2"/>
        <v>0.13804805593643565</v>
      </c>
      <c r="Q46" s="20"/>
      <c r="R46" s="20"/>
      <c r="S46" s="21">
        <v>1.6500000000000001E-2</v>
      </c>
      <c r="T46" s="20"/>
    </row>
    <row r="47" spans="2:20" ht="15.75" thickBot="1" x14ac:dyDescent="0.3">
      <c r="B47" s="4"/>
      <c r="C47" s="19" t="s">
        <v>66</v>
      </c>
      <c r="D47" s="19" t="s">
        <v>78</v>
      </c>
      <c r="E47" s="19">
        <v>2.5000000000000001E-3</v>
      </c>
      <c r="F47" s="19">
        <f t="shared" si="5"/>
        <v>0</v>
      </c>
      <c r="G47" s="19"/>
      <c r="H47" s="19">
        <v>106.93300000000001</v>
      </c>
      <c r="I47" s="19"/>
      <c r="J47" s="19">
        <v>1.513838088621404E-2</v>
      </c>
      <c r="K47" s="19"/>
      <c r="L47" s="19">
        <v>6.1</v>
      </c>
      <c r="M47" s="19"/>
      <c r="N47" s="19"/>
      <c r="O47" s="19">
        <v>22680.692999999999</v>
      </c>
      <c r="P47" s="19"/>
      <c r="Q47" s="19"/>
      <c r="R47" s="19"/>
      <c r="S47" s="22">
        <v>1.7399999999999999E-2</v>
      </c>
      <c r="T47" s="19"/>
    </row>
    <row r="48" spans="2:20" ht="15.75" thickBot="1" x14ac:dyDescent="0.3">
      <c r="B48" s="4">
        <v>2021</v>
      </c>
      <c r="C48" s="20" t="s">
        <v>65</v>
      </c>
      <c r="D48" s="20" t="s">
        <v>78</v>
      </c>
      <c r="E48" s="20">
        <v>2.5000000000000001E-3</v>
      </c>
      <c r="F48" s="20">
        <v>0</v>
      </c>
      <c r="G48" s="20"/>
      <c r="H48" s="20">
        <v>106.28100000000001</v>
      </c>
      <c r="I48" s="20"/>
      <c r="J48" s="20">
        <v>1.4460926017034329E-2</v>
      </c>
      <c r="K48" s="20"/>
      <c r="L48" s="20">
        <v>6.4</v>
      </c>
      <c r="M48" s="20"/>
      <c r="N48" s="20"/>
      <c r="O48" s="20">
        <v>22680.692999999999</v>
      </c>
      <c r="P48" s="20"/>
      <c r="Q48" s="20"/>
      <c r="R48" s="20"/>
      <c r="S48" s="21">
        <v>1.11E-2</v>
      </c>
      <c r="T48" s="20"/>
    </row>
    <row r="49" spans="19:19" x14ac:dyDescent="0.25">
      <c r="S49" s="8"/>
    </row>
    <row r="50" spans="19:19" x14ac:dyDescent="0.25">
      <c r="S50" s="8"/>
    </row>
    <row r="51" spans="19:19" x14ac:dyDescent="0.25">
      <c r="S51" s="8"/>
    </row>
    <row r="52" spans="19:19" x14ac:dyDescent="0.25">
      <c r="S52" s="8"/>
    </row>
    <row r="53" spans="19:19" x14ac:dyDescent="0.25">
      <c r="S53" s="8"/>
    </row>
    <row r="54" spans="19:19" x14ac:dyDescent="0.25">
      <c r="S54" s="8"/>
    </row>
    <row r="55" spans="19:19" x14ac:dyDescent="0.25">
      <c r="S55" s="8"/>
    </row>
    <row r="56" spans="19:19" x14ac:dyDescent="0.25">
      <c r="S56" s="8"/>
    </row>
    <row r="57" spans="19:19" x14ac:dyDescent="0.25">
      <c r="S57" s="8"/>
    </row>
    <row r="58" spans="19:19" x14ac:dyDescent="0.25">
      <c r="S58" s="8"/>
    </row>
    <row r="59" spans="19:19" x14ac:dyDescent="0.25">
      <c r="S59" s="8"/>
    </row>
    <row r="60" spans="19:19" x14ac:dyDescent="0.25">
      <c r="S60" s="8"/>
    </row>
    <row r="61" spans="19:19" x14ac:dyDescent="0.25">
      <c r="S61" s="8"/>
    </row>
    <row r="62" spans="19:19" x14ac:dyDescent="0.25">
      <c r="S62" s="8"/>
    </row>
    <row r="63" spans="19:19" x14ac:dyDescent="0.25">
      <c r="S63" s="8"/>
    </row>
    <row r="64" spans="19:19" x14ac:dyDescent="0.25">
      <c r="S64" s="8"/>
    </row>
    <row r="65" spans="16:19" x14ac:dyDescent="0.25">
      <c r="S65" s="8"/>
    </row>
    <row r="66" spans="16:19" x14ac:dyDescent="0.25">
      <c r="S66" s="8"/>
    </row>
    <row r="67" spans="16:19" x14ac:dyDescent="0.25">
      <c r="S67" s="8"/>
    </row>
    <row r="68" spans="16:19" x14ac:dyDescent="0.25">
      <c r="S68" s="8"/>
    </row>
    <row r="69" spans="16:19" x14ac:dyDescent="0.25">
      <c r="S69" s="8"/>
    </row>
    <row r="70" spans="16:19" x14ac:dyDescent="0.25">
      <c r="S70" s="8"/>
    </row>
    <row r="71" spans="16:19" x14ac:dyDescent="0.25">
      <c r="P71" s="9"/>
      <c r="Q71" s="9"/>
      <c r="R71" s="8"/>
      <c r="S71" s="8"/>
    </row>
    <row r="72" spans="16:19" x14ac:dyDescent="0.25">
      <c r="P72" s="9"/>
      <c r="Q72" s="9"/>
      <c r="R72" s="8"/>
      <c r="S72" s="8"/>
    </row>
    <row r="73" spans="16:19" x14ac:dyDescent="0.25">
      <c r="P73" s="9"/>
      <c r="Q73" s="9"/>
      <c r="R73" s="8"/>
      <c r="S73" s="8"/>
    </row>
    <row r="74" spans="16:19" x14ac:dyDescent="0.25">
      <c r="P74" s="9"/>
      <c r="Q74" s="9"/>
      <c r="R74" s="8"/>
      <c r="S74" s="8"/>
    </row>
    <row r="75" spans="16:19" x14ac:dyDescent="0.25">
      <c r="P75" s="9"/>
      <c r="Q75" s="9"/>
      <c r="R75" s="8"/>
      <c r="S75" s="8"/>
    </row>
    <row r="76" spans="16:19" x14ac:dyDescent="0.25">
      <c r="P76" s="9"/>
      <c r="Q76" s="9"/>
      <c r="R76" s="8"/>
      <c r="S76" s="8"/>
    </row>
    <row r="77" spans="16:19" x14ac:dyDescent="0.25">
      <c r="P77" s="9"/>
      <c r="Q77" s="9"/>
      <c r="R77" s="8"/>
      <c r="S77" s="8"/>
    </row>
    <row r="78" spans="16:19" x14ac:dyDescent="0.25">
      <c r="P78" s="9"/>
      <c r="Q78" s="9"/>
      <c r="R78" s="8"/>
      <c r="S78" s="8"/>
    </row>
    <row r="79" spans="16:19" x14ac:dyDescent="0.25">
      <c r="P79" s="9"/>
      <c r="Q79" s="9"/>
      <c r="R79" s="8"/>
      <c r="S79" s="8"/>
    </row>
    <row r="80" spans="16:19" x14ac:dyDescent="0.25">
      <c r="P80" s="9"/>
      <c r="Q80" s="9"/>
      <c r="R80" s="8"/>
      <c r="S80" s="8"/>
    </row>
    <row r="81" spans="16:19" x14ac:dyDescent="0.25">
      <c r="P81" s="9"/>
      <c r="Q81" s="9"/>
      <c r="R81" s="8"/>
      <c r="S81" s="8"/>
    </row>
    <row r="82" spans="16:19" x14ac:dyDescent="0.25">
      <c r="P82" s="9"/>
      <c r="Q82" s="9"/>
      <c r="R82" s="8"/>
      <c r="S82" s="8"/>
    </row>
    <row r="83" spans="16:19" x14ac:dyDescent="0.25">
      <c r="P83" s="9"/>
      <c r="Q83" s="9"/>
      <c r="R83" s="8"/>
      <c r="S83" s="8"/>
    </row>
    <row r="84" spans="16:19" x14ac:dyDescent="0.25">
      <c r="P84" s="9"/>
      <c r="Q84" s="9"/>
      <c r="R84" s="8"/>
      <c r="S84" s="8"/>
    </row>
    <row r="85" spans="16:19" x14ac:dyDescent="0.25">
      <c r="P85" s="9"/>
      <c r="Q85" s="9"/>
      <c r="R85" s="8"/>
      <c r="S85" s="8"/>
    </row>
    <row r="86" spans="16:19" x14ac:dyDescent="0.25">
      <c r="P86" s="9"/>
      <c r="Q86" s="9"/>
      <c r="R86" s="8"/>
      <c r="S86" s="8"/>
    </row>
    <row r="87" spans="16:19" x14ac:dyDescent="0.25">
      <c r="P87" s="9"/>
      <c r="Q87" s="9"/>
      <c r="R87" s="8"/>
      <c r="S87" s="8"/>
    </row>
    <row r="88" spans="16:19" x14ac:dyDescent="0.25">
      <c r="P88" s="9"/>
      <c r="Q88" s="9"/>
      <c r="R88" s="8"/>
      <c r="S88" s="8"/>
    </row>
    <row r="89" spans="16:19" x14ac:dyDescent="0.25">
      <c r="P89" s="9"/>
      <c r="Q89" s="9"/>
      <c r="R89" s="8"/>
      <c r="S89" s="8"/>
    </row>
    <row r="90" spans="16:19" x14ac:dyDescent="0.25">
      <c r="P90" s="9"/>
      <c r="Q90" s="9"/>
      <c r="R90" s="8"/>
      <c r="S90" s="8"/>
    </row>
    <row r="91" spans="16:19" x14ac:dyDescent="0.25">
      <c r="P91" s="9"/>
      <c r="Q91" s="9"/>
      <c r="R91" s="8"/>
      <c r="S91" s="8"/>
    </row>
    <row r="92" spans="16:19" x14ac:dyDescent="0.25">
      <c r="P92" s="9"/>
      <c r="Q92" s="9"/>
      <c r="R92" s="8"/>
      <c r="S92" s="8"/>
    </row>
    <row r="93" spans="16:19" x14ac:dyDescent="0.25">
      <c r="P93" s="9"/>
      <c r="Q93" s="9"/>
      <c r="R93" s="8"/>
      <c r="S93" s="8"/>
    </row>
    <row r="94" spans="16:19" x14ac:dyDescent="0.25">
      <c r="P94" s="9"/>
      <c r="Q94" s="9"/>
      <c r="R94" s="8"/>
      <c r="S94" s="8"/>
    </row>
    <row r="95" spans="16:19" x14ac:dyDescent="0.25">
      <c r="P95" s="9"/>
      <c r="Q95" s="9"/>
      <c r="R95" s="8"/>
      <c r="S95" s="8"/>
    </row>
    <row r="96" spans="16:19" x14ac:dyDescent="0.25">
      <c r="P96" s="9"/>
      <c r="Q96" s="9"/>
      <c r="R96" s="8"/>
      <c r="S96" s="8"/>
    </row>
    <row r="97" spans="16:19" x14ac:dyDescent="0.25">
      <c r="P97" s="9"/>
      <c r="Q97" s="9"/>
      <c r="R97" s="8"/>
      <c r="S97" s="8"/>
    </row>
    <row r="98" spans="16:19" x14ac:dyDescent="0.25">
      <c r="P98" s="9"/>
      <c r="Q98" s="9"/>
      <c r="R98" s="8"/>
      <c r="S98" s="8"/>
    </row>
    <row r="99" spans="16:19" x14ac:dyDescent="0.25">
      <c r="P99" s="9"/>
      <c r="Q99" s="9"/>
      <c r="R99" s="8"/>
      <c r="S99" s="8"/>
    </row>
    <row r="100" spans="16:19" x14ac:dyDescent="0.25">
      <c r="P100" s="9"/>
      <c r="Q100" s="9"/>
      <c r="R100" s="8"/>
      <c r="S100" s="8"/>
    </row>
    <row r="101" spans="16:19" x14ac:dyDescent="0.25">
      <c r="P101" s="9"/>
      <c r="Q101" s="9"/>
      <c r="R101" s="8"/>
      <c r="S101" s="8"/>
    </row>
    <row r="102" spans="16:19" x14ac:dyDescent="0.25">
      <c r="P102" s="9"/>
      <c r="Q102" s="9"/>
      <c r="R102" s="8"/>
      <c r="S102" s="8"/>
    </row>
    <row r="103" spans="16:19" x14ac:dyDescent="0.25">
      <c r="P103" s="9"/>
      <c r="Q103" s="9"/>
      <c r="R103" s="8"/>
      <c r="S103" s="8"/>
    </row>
    <row r="104" spans="16:19" x14ac:dyDescent="0.25">
      <c r="P104" s="9"/>
      <c r="Q104" s="9"/>
      <c r="R104" s="8"/>
      <c r="S104" s="8"/>
    </row>
    <row r="105" spans="16:19" x14ac:dyDescent="0.25">
      <c r="P105" s="9"/>
      <c r="Q105" s="9"/>
      <c r="R105" s="8"/>
      <c r="S105" s="8"/>
    </row>
    <row r="106" spans="16:19" x14ac:dyDescent="0.25">
      <c r="P106" s="9"/>
      <c r="Q106" s="9"/>
      <c r="R106" s="8"/>
      <c r="S106" s="8"/>
    </row>
    <row r="107" spans="16:19" x14ac:dyDescent="0.25">
      <c r="P107" s="9"/>
      <c r="Q107" s="9"/>
      <c r="R107" s="8"/>
      <c r="S107" s="8"/>
    </row>
    <row r="108" spans="16:19" x14ac:dyDescent="0.25">
      <c r="P108" s="9"/>
      <c r="Q108" s="9"/>
      <c r="R108" s="8"/>
      <c r="S108" s="8"/>
    </row>
    <row r="109" spans="16:19" x14ac:dyDescent="0.25">
      <c r="P109" s="9"/>
      <c r="Q109" s="9"/>
      <c r="R109" s="8"/>
      <c r="S109" s="8"/>
    </row>
    <row r="110" spans="16:19" x14ac:dyDescent="0.25">
      <c r="P110" s="9"/>
      <c r="Q110" s="9"/>
      <c r="R110" s="8"/>
      <c r="S110" s="8"/>
    </row>
    <row r="111" spans="16:19" x14ac:dyDescent="0.25">
      <c r="P111" s="9"/>
      <c r="Q111" s="9"/>
      <c r="R111" s="8"/>
      <c r="S111" s="8"/>
    </row>
    <row r="112" spans="16:19" x14ac:dyDescent="0.25">
      <c r="P112" s="9"/>
      <c r="Q112" s="9"/>
      <c r="R112" s="8"/>
      <c r="S112" s="8"/>
    </row>
    <row r="113" spans="16:19" x14ac:dyDescent="0.25">
      <c r="P113" s="9"/>
      <c r="Q113" s="9"/>
      <c r="R113" s="8"/>
      <c r="S113" s="8"/>
    </row>
    <row r="114" spans="16:19" x14ac:dyDescent="0.25">
      <c r="P114" s="9"/>
      <c r="Q114" s="9"/>
      <c r="R114" s="8"/>
      <c r="S114" s="8"/>
    </row>
    <row r="115" spans="16:19" x14ac:dyDescent="0.25">
      <c r="P115" s="9"/>
      <c r="Q115" s="9"/>
      <c r="R115" s="8"/>
      <c r="S115" s="8"/>
    </row>
    <row r="116" spans="16:19" x14ac:dyDescent="0.25">
      <c r="P116" s="9"/>
      <c r="Q116" s="9"/>
      <c r="R116" s="8"/>
      <c r="S116" s="8"/>
    </row>
    <row r="117" spans="16:19" x14ac:dyDescent="0.25">
      <c r="P117" s="9"/>
      <c r="Q117" s="9"/>
      <c r="R117" s="8"/>
      <c r="S117" s="8"/>
    </row>
    <row r="118" spans="16:19" x14ac:dyDescent="0.25">
      <c r="P118" s="9"/>
      <c r="Q118" s="9"/>
      <c r="R118" s="8"/>
      <c r="S118" s="8"/>
    </row>
    <row r="119" spans="16:19" x14ac:dyDescent="0.25">
      <c r="P119" s="9"/>
      <c r="Q119" s="9"/>
      <c r="R119" s="8"/>
      <c r="S119" s="8"/>
    </row>
    <row r="120" spans="16:19" x14ac:dyDescent="0.25">
      <c r="P120" s="9"/>
      <c r="Q120" s="9"/>
      <c r="R120" s="8"/>
      <c r="S120" s="8"/>
    </row>
    <row r="121" spans="16:19" x14ac:dyDescent="0.25">
      <c r="P121" s="9"/>
      <c r="Q121" s="9"/>
      <c r="R121" s="8"/>
      <c r="S121" s="8"/>
    </row>
    <row r="122" spans="16:19" x14ac:dyDescent="0.25">
      <c r="P122" s="9"/>
      <c r="Q122" s="9"/>
      <c r="R122" s="8"/>
      <c r="S122" s="8"/>
    </row>
    <row r="123" spans="16:19" x14ac:dyDescent="0.25">
      <c r="P123" s="9"/>
      <c r="Q123" s="9"/>
      <c r="R123" s="8"/>
      <c r="S123" s="8"/>
    </row>
    <row r="124" spans="16:19" x14ac:dyDescent="0.25">
      <c r="P124" s="9"/>
      <c r="Q124" s="9"/>
      <c r="R124" s="8"/>
      <c r="S124" s="8"/>
    </row>
    <row r="125" spans="16:19" x14ac:dyDescent="0.25">
      <c r="P125" s="9"/>
      <c r="Q125" s="9"/>
      <c r="R125" s="8"/>
      <c r="S125" s="8"/>
    </row>
    <row r="126" spans="16:19" x14ac:dyDescent="0.25">
      <c r="P126" s="9"/>
      <c r="Q126" s="9"/>
      <c r="R126" s="8"/>
      <c r="S126" s="8"/>
    </row>
    <row r="127" spans="16:19" x14ac:dyDescent="0.25">
      <c r="P127" s="9"/>
      <c r="Q127" s="9"/>
      <c r="R127" s="8"/>
      <c r="S127" s="8"/>
    </row>
    <row r="128" spans="16:19" x14ac:dyDescent="0.25">
      <c r="P128" s="9"/>
      <c r="Q128" s="9"/>
      <c r="R128" s="8"/>
      <c r="S128" s="8"/>
    </row>
    <row r="129" spans="16:19" x14ac:dyDescent="0.25">
      <c r="P129" s="9"/>
      <c r="Q129" s="9"/>
      <c r="R129" s="8"/>
      <c r="S129" s="8"/>
    </row>
    <row r="130" spans="16:19" x14ac:dyDescent="0.25">
      <c r="P130" s="9"/>
      <c r="Q130" s="9"/>
      <c r="R130" s="8"/>
      <c r="S130" s="8"/>
    </row>
    <row r="131" spans="16:19" x14ac:dyDescent="0.25">
      <c r="P131" s="9"/>
      <c r="Q131" s="9"/>
      <c r="R131" s="8"/>
      <c r="S131" s="8"/>
    </row>
    <row r="132" spans="16:19" x14ac:dyDescent="0.25">
      <c r="P132" s="9"/>
      <c r="Q132" s="9"/>
      <c r="R132" s="8"/>
      <c r="S132" s="8"/>
    </row>
    <row r="133" spans="16:19" x14ac:dyDescent="0.25">
      <c r="P133" s="9"/>
      <c r="Q133" s="9"/>
      <c r="R133" s="8"/>
      <c r="S133" s="8"/>
    </row>
    <row r="134" spans="16:19" x14ac:dyDescent="0.25">
      <c r="P134" s="9"/>
      <c r="Q134" s="9"/>
      <c r="R134" s="8"/>
      <c r="S134" s="8"/>
    </row>
    <row r="135" spans="16:19" x14ac:dyDescent="0.25">
      <c r="P135" s="9"/>
      <c r="Q135" s="9"/>
      <c r="R135" s="8"/>
      <c r="S135" s="8"/>
    </row>
    <row r="136" spans="16:19" x14ac:dyDescent="0.25">
      <c r="P136" s="9"/>
      <c r="Q136" s="9"/>
      <c r="R136" s="8"/>
      <c r="S136" s="8"/>
    </row>
    <row r="137" spans="16:19" x14ac:dyDescent="0.25">
      <c r="P137" s="9"/>
      <c r="Q137" s="9"/>
      <c r="R137" s="8"/>
      <c r="S137" s="8"/>
    </row>
    <row r="138" spans="16:19" x14ac:dyDescent="0.25">
      <c r="P138" s="9"/>
      <c r="Q138" s="9"/>
      <c r="R138" s="8"/>
      <c r="S138" s="8"/>
    </row>
    <row r="139" spans="16:19" x14ac:dyDescent="0.25">
      <c r="P139" s="9"/>
      <c r="Q139" s="9"/>
      <c r="R139" s="8"/>
      <c r="S139" s="8"/>
    </row>
    <row r="140" spans="16:19" x14ac:dyDescent="0.25">
      <c r="P140" s="9"/>
      <c r="Q140" s="9"/>
      <c r="R140" s="8"/>
      <c r="S140" s="8"/>
    </row>
    <row r="141" spans="16:19" x14ac:dyDescent="0.25">
      <c r="P141" s="9"/>
      <c r="Q141" s="9"/>
      <c r="R141" s="8"/>
      <c r="S141" s="8"/>
    </row>
    <row r="142" spans="16:19" x14ac:dyDescent="0.25">
      <c r="P142" s="9"/>
      <c r="Q142" s="9"/>
      <c r="R142" s="8"/>
      <c r="S142" s="8"/>
    </row>
    <row r="143" spans="16:19" x14ac:dyDescent="0.25">
      <c r="P143" s="9"/>
      <c r="Q143" s="9"/>
      <c r="R143" s="8"/>
      <c r="S143" s="8"/>
    </row>
    <row r="144" spans="16:19" x14ac:dyDescent="0.25">
      <c r="P144" s="9"/>
      <c r="Q144" s="9"/>
      <c r="R144" s="8"/>
      <c r="S144" s="8"/>
    </row>
    <row r="145" spans="16:19" x14ac:dyDescent="0.25">
      <c r="P145" s="9"/>
      <c r="Q145" s="9"/>
      <c r="R145" s="8"/>
      <c r="S145" s="8"/>
    </row>
    <row r="146" spans="16:19" x14ac:dyDescent="0.25">
      <c r="P146" s="9"/>
      <c r="Q146" s="9"/>
      <c r="R146" s="8"/>
      <c r="S146" s="8"/>
    </row>
    <row r="147" spans="16:19" x14ac:dyDescent="0.25">
      <c r="P147" s="9"/>
      <c r="Q147" s="9"/>
      <c r="R147" s="8"/>
      <c r="S147" s="8"/>
    </row>
    <row r="148" spans="16:19" x14ac:dyDescent="0.25">
      <c r="P148" s="9"/>
      <c r="Q148" s="9"/>
      <c r="R148" s="8"/>
      <c r="S148" s="8"/>
    </row>
    <row r="149" spans="16:19" x14ac:dyDescent="0.25">
      <c r="P149" s="9"/>
      <c r="Q149" s="9"/>
      <c r="R149" s="8"/>
      <c r="S149" s="8"/>
    </row>
    <row r="150" spans="16:19" x14ac:dyDescent="0.25">
      <c r="P150" s="9"/>
      <c r="Q150" s="9"/>
      <c r="R150" s="8"/>
      <c r="S150" s="8"/>
    </row>
    <row r="151" spans="16:19" x14ac:dyDescent="0.25">
      <c r="P151" s="9"/>
      <c r="Q151" s="9"/>
      <c r="R151" s="8"/>
      <c r="S151" s="8"/>
    </row>
    <row r="152" spans="16:19" x14ac:dyDescent="0.25">
      <c r="P152" s="9"/>
      <c r="Q152" s="9"/>
      <c r="R152" s="8"/>
      <c r="S152" s="8"/>
    </row>
    <row r="153" spans="16:19" x14ac:dyDescent="0.25">
      <c r="P153" s="9"/>
      <c r="Q153" s="9"/>
      <c r="R153" s="8"/>
      <c r="S153" s="8"/>
    </row>
    <row r="154" spans="16:19" x14ac:dyDescent="0.25">
      <c r="P154" s="9"/>
      <c r="Q154" s="9"/>
      <c r="R154" s="8"/>
      <c r="S154" s="8"/>
    </row>
    <row r="155" spans="16:19" x14ac:dyDescent="0.25">
      <c r="P155" s="9"/>
      <c r="Q155" s="9"/>
      <c r="R155" s="8"/>
      <c r="S155" s="8"/>
    </row>
    <row r="156" spans="16:19" x14ac:dyDescent="0.25">
      <c r="P156" s="9"/>
      <c r="Q156" s="9"/>
      <c r="R156" s="8"/>
      <c r="S156" s="8"/>
    </row>
    <row r="157" spans="16:19" x14ac:dyDescent="0.25">
      <c r="P157" s="9"/>
      <c r="Q157" s="9"/>
      <c r="R157" s="8"/>
      <c r="S157" s="8"/>
    </row>
    <row r="158" spans="16:19" x14ac:dyDescent="0.25">
      <c r="P158" s="9"/>
      <c r="Q158" s="9"/>
      <c r="R158" s="8"/>
      <c r="S158" s="8"/>
    </row>
    <row r="159" spans="16:19" x14ac:dyDescent="0.25">
      <c r="P159" s="9"/>
      <c r="Q159" s="9"/>
      <c r="R159" s="8"/>
      <c r="S159" s="8"/>
    </row>
    <row r="160" spans="16:19" x14ac:dyDescent="0.25">
      <c r="P160" s="9"/>
      <c r="Q160" s="9"/>
      <c r="R160" s="8"/>
      <c r="S160" s="8"/>
    </row>
    <row r="161" spans="16:19" x14ac:dyDescent="0.25">
      <c r="P161" s="9"/>
      <c r="Q161" s="9"/>
      <c r="R161" s="8"/>
      <c r="S161" s="8"/>
    </row>
    <row r="162" spans="16:19" x14ac:dyDescent="0.25">
      <c r="P162" s="9"/>
      <c r="Q162" s="9"/>
      <c r="R162" s="8"/>
      <c r="S162" s="8"/>
    </row>
    <row r="163" spans="16:19" x14ac:dyDescent="0.25">
      <c r="P163" s="9"/>
      <c r="Q163" s="9"/>
      <c r="R163" s="8"/>
      <c r="S163" s="8"/>
    </row>
    <row r="164" spans="16:19" x14ac:dyDescent="0.25">
      <c r="P164" s="9"/>
      <c r="Q164" s="9"/>
      <c r="R164" s="8"/>
      <c r="S164" s="8"/>
    </row>
    <row r="165" spans="16:19" x14ac:dyDescent="0.25">
      <c r="P165" s="9"/>
      <c r="Q165" s="9"/>
      <c r="R165" s="8"/>
    </row>
    <row r="166" spans="16:19" x14ac:dyDescent="0.25">
      <c r="P166" s="9"/>
      <c r="Q166" s="9"/>
      <c r="R166" s="8"/>
    </row>
    <row r="167" spans="16:19" x14ac:dyDescent="0.25">
      <c r="P167" s="9"/>
      <c r="Q167" s="9"/>
      <c r="R167" s="8"/>
    </row>
    <row r="168" spans="16:19" x14ac:dyDescent="0.25">
      <c r="P168" s="9"/>
      <c r="Q168" s="9"/>
      <c r="R168" s="8"/>
    </row>
    <row r="169" spans="16:19" x14ac:dyDescent="0.25">
      <c r="P169" s="9"/>
      <c r="Q169" s="9"/>
      <c r="R169" s="8"/>
    </row>
    <row r="170" spans="16:19" x14ac:dyDescent="0.25">
      <c r="P170" s="9"/>
      <c r="Q170" s="9"/>
      <c r="R170" s="8"/>
    </row>
    <row r="171" spans="16:19" x14ac:dyDescent="0.25">
      <c r="P171" s="9"/>
      <c r="Q171" s="9"/>
      <c r="R171" s="8"/>
    </row>
    <row r="172" spans="16:19" x14ac:dyDescent="0.25">
      <c r="P172" s="9"/>
      <c r="Q172" s="9"/>
      <c r="R172" s="8"/>
    </row>
    <row r="173" spans="16:19" x14ac:dyDescent="0.25">
      <c r="P173" s="9"/>
      <c r="Q173" s="9"/>
      <c r="R173" s="8"/>
    </row>
    <row r="174" spans="16:19" x14ac:dyDescent="0.25">
      <c r="P174" s="9"/>
      <c r="Q174" s="9"/>
      <c r="R174" s="8"/>
    </row>
    <row r="175" spans="16:19" x14ac:dyDescent="0.25">
      <c r="P175" s="9"/>
      <c r="Q175" s="9"/>
      <c r="R175" s="8"/>
    </row>
    <row r="176" spans="16:19" x14ac:dyDescent="0.25">
      <c r="P176" s="9"/>
      <c r="Q176" s="9"/>
      <c r="R176" s="8"/>
    </row>
    <row r="177" spans="16:18" x14ac:dyDescent="0.25">
      <c r="P177" s="9"/>
      <c r="Q177" s="9"/>
      <c r="R177" s="8"/>
    </row>
    <row r="178" spans="16:18" x14ac:dyDescent="0.25">
      <c r="P178" s="9"/>
      <c r="Q178" s="9"/>
      <c r="R178" s="8"/>
    </row>
    <row r="179" spans="16:18" x14ac:dyDescent="0.25">
      <c r="P179" s="9"/>
      <c r="Q179" s="9"/>
      <c r="R179" s="8"/>
    </row>
    <row r="180" spans="16:18" x14ac:dyDescent="0.25">
      <c r="P180" s="9"/>
      <c r="Q180" s="9"/>
      <c r="R180" s="8"/>
    </row>
    <row r="181" spans="16:18" x14ac:dyDescent="0.25">
      <c r="P181" s="9"/>
      <c r="Q181" s="9"/>
      <c r="R181" s="8"/>
    </row>
    <row r="182" spans="16:18" x14ac:dyDescent="0.25">
      <c r="P182" s="9"/>
      <c r="Q182" s="9"/>
      <c r="R182" s="8"/>
    </row>
    <row r="183" spans="16:18" x14ac:dyDescent="0.25">
      <c r="P183" s="9"/>
      <c r="Q183" s="9"/>
      <c r="R183" s="8"/>
    </row>
    <row r="184" spans="16:18" x14ac:dyDescent="0.25">
      <c r="Q184" s="9"/>
      <c r="R184" s="8"/>
    </row>
    <row r="185" spans="16:18" x14ac:dyDescent="0.25">
      <c r="Q185" s="9"/>
      <c r="R185" s="8"/>
    </row>
    <row r="186" spans="16:18" x14ac:dyDescent="0.25">
      <c r="Q186" s="9"/>
      <c r="R186" s="8"/>
    </row>
    <row r="187" spans="16:18" x14ac:dyDescent="0.25">
      <c r="Q187" s="9"/>
      <c r="R187" s="8"/>
    </row>
  </sheetData>
  <hyperlinks>
    <hyperlink ref="H5" r:id="rId1" xr:uid="{2ECCA851-2482-4083-9582-4AE7DF0E31B7}"/>
    <hyperlink ref="J5" r:id="rId2" display="Inflation expectations 1y" xr:uid="{00A94B9F-AE27-4E2C-A0FF-C163ED3095F3}"/>
    <hyperlink ref="L5" r:id="rId3" xr:uid="{4041A7E3-38BD-4A56-8CBA-D57913848DBA}"/>
    <hyperlink ref="S5" r:id="rId4" xr:uid="{E819ED65-39DD-4F6D-916A-2D5ADAEFC995}"/>
  </hyperlinks>
  <pageMargins left="0.7" right="0.7" top="0.75" bottom="0.75" header="0.3" footer="0.3"/>
  <legacy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BE718-5EC6-4028-8C82-F1824CAFE729}">
  <sheetPr>
    <tabColor theme="8" tint="-0.249977111117893"/>
  </sheetPr>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CE6E-65A8-4D9F-A06E-DD5DC6A820B0}">
  <sheetPr>
    <tabColor theme="8" tint="0.79998168889431442"/>
  </sheetPr>
  <dimension ref="A1:I19"/>
  <sheetViews>
    <sheetView tabSelected="1" workbookViewId="0">
      <selection activeCell="B2" sqref="B2"/>
    </sheetView>
  </sheetViews>
  <sheetFormatPr defaultRowHeight="15" x14ac:dyDescent="0.25"/>
  <cols>
    <col min="1" max="1" width="18" bestFit="1" customWidth="1"/>
    <col min="2" max="2" width="12.7109375" bestFit="1" customWidth="1"/>
    <col min="3" max="3" width="14.5703125" bestFit="1" customWidth="1"/>
    <col min="4" max="4" width="12.7109375" bestFit="1" customWidth="1"/>
    <col min="5" max="5" width="12" bestFit="1" customWidth="1"/>
    <col min="6" max="6" width="13.42578125" bestFit="1" customWidth="1"/>
    <col min="7" max="7" width="12" bestFit="1" customWidth="1"/>
    <col min="8" max="8" width="12.7109375" bestFit="1" customWidth="1"/>
    <col min="9" max="9" width="12.5703125" bestFit="1" customWidth="1"/>
  </cols>
  <sheetData>
    <row r="1" spans="1:9" x14ac:dyDescent="0.25">
      <c r="A1" t="s">
        <v>90</v>
      </c>
      <c r="B1" t="s">
        <v>197</v>
      </c>
    </row>
    <row r="2" spans="1:9" ht="15.75" thickBot="1" x14ac:dyDescent="0.3"/>
    <row r="3" spans="1:9" x14ac:dyDescent="0.25">
      <c r="A3" s="26" t="s">
        <v>91</v>
      </c>
      <c r="B3" s="26"/>
    </row>
    <row r="4" spans="1:9" x14ac:dyDescent="0.25">
      <c r="A4" s="23" t="s">
        <v>92</v>
      </c>
      <c r="B4" s="23">
        <v>0.34622447272061391</v>
      </c>
    </row>
    <row r="5" spans="1:9" x14ac:dyDescent="0.25">
      <c r="A5" s="23" t="s">
        <v>93</v>
      </c>
      <c r="B5" s="23">
        <v>0.11987138551066712</v>
      </c>
    </row>
    <row r="6" spans="1:9" x14ac:dyDescent="0.25">
      <c r="A6" s="23" t="s">
        <v>94</v>
      </c>
      <c r="B6" s="23">
        <v>0.1096373318538144</v>
      </c>
    </row>
    <row r="7" spans="1:9" x14ac:dyDescent="0.25">
      <c r="A7" s="23" t="s">
        <v>95</v>
      </c>
      <c r="B7" s="23">
        <v>0.27739045301322074</v>
      </c>
    </row>
    <row r="8" spans="1:9" ht="15.75" thickBot="1" x14ac:dyDescent="0.3">
      <c r="A8" s="24" t="s">
        <v>96</v>
      </c>
      <c r="B8" s="24">
        <v>175</v>
      </c>
    </row>
    <row r="10" spans="1:9" ht="15.75" thickBot="1" x14ac:dyDescent="0.3">
      <c r="A10" t="s">
        <v>97</v>
      </c>
    </row>
    <row r="11" spans="1:9" x14ac:dyDescent="0.25">
      <c r="A11" s="25"/>
      <c r="B11" s="25" t="s">
        <v>102</v>
      </c>
      <c r="C11" s="25" t="s">
        <v>103</v>
      </c>
      <c r="D11" s="25" t="s">
        <v>104</v>
      </c>
      <c r="E11" s="25" t="s">
        <v>105</v>
      </c>
      <c r="F11" s="25" t="s">
        <v>106</v>
      </c>
    </row>
    <row r="12" spans="1:9" x14ac:dyDescent="0.25">
      <c r="A12" s="23" t="s">
        <v>98</v>
      </c>
      <c r="B12" s="23">
        <v>2</v>
      </c>
      <c r="C12" s="23">
        <v>1.8025231484075483</v>
      </c>
      <c r="D12" s="23">
        <v>0.90126157420377417</v>
      </c>
      <c r="E12" s="23">
        <v>11.712991697126915</v>
      </c>
      <c r="F12" s="23">
        <v>1.7020335464548236E-5</v>
      </c>
    </row>
    <row r="13" spans="1:9" x14ac:dyDescent="0.25">
      <c r="A13" s="23" t="s">
        <v>99</v>
      </c>
      <c r="B13" s="23">
        <v>172</v>
      </c>
      <c r="C13" s="23">
        <v>13.23461970873533</v>
      </c>
      <c r="D13" s="23">
        <v>7.6945463422879834E-2</v>
      </c>
      <c r="E13" s="23"/>
      <c r="F13" s="23"/>
    </row>
    <row r="14" spans="1:9" ht="15.75" thickBot="1" x14ac:dyDescent="0.3">
      <c r="A14" s="24" t="s">
        <v>100</v>
      </c>
      <c r="B14" s="24">
        <v>174</v>
      </c>
      <c r="C14" s="24">
        <v>15.037142857142879</v>
      </c>
      <c r="D14" s="24"/>
      <c r="E14" s="24"/>
      <c r="F14" s="24"/>
    </row>
    <row r="15" spans="1:9" ht="15.75" thickBot="1" x14ac:dyDescent="0.3"/>
    <row r="16" spans="1:9" x14ac:dyDescent="0.25">
      <c r="A16" s="25"/>
      <c r="B16" s="25" t="s">
        <v>107</v>
      </c>
      <c r="C16" s="25" t="s">
        <v>95</v>
      </c>
      <c r="D16" s="25" t="s">
        <v>108</v>
      </c>
      <c r="E16" s="25" t="s">
        <v>109</v>
      </c>
      <c r="F16" s="25" t="s">
        <v>110</v>
      </c>
      <c r="G16" s="25" t="s">
        <v>111</v>
      </c>
      <c r="H16" s="25" t="s">
        <v>112</v>
      </c>
      <c r="I16" s="25" t="s">
        <v>113</v>
      </c>
    </row>
    <row r="17" spans="1:9" x14ac:dyDescent="0.25">
      <c r="A17" s="23" t="s">
        <v>101</v>
      </c>
      <c r="B17" s="23">
        <v>-5.5968441969304811E-2</v>
      </c>
      <c r="C17" s="23">
        <v>3.753257018382046E-2</v>
      </c>
      <c r="D17" s="23">
        <v>-1.4911966245634753</v>
      </c>
      <c r="E17" s="23">
        <v>0.13774159034580097</v>
      </c>
      <c r="F17" s="23">
        <v>-0.13005218705334376</v>
      </c>
      <c r="G17" s="23">
        <v>1.8115303114734152E-2</v>
      </c>
      <c r="H17" s="23">
        <v>-0.13005218705334376</v>
      </c>
      <c r="I17" s="23">
        <v>1.8115303114734152E-2</v>
      </c>
    </row>
    <row r="18" spans="1:9" x14ac:dyDescent="0.25">
      <c r="A18" s="23" t="s">
        <v>158</v>
      </c>
      <c r="B18" s="23">
        <v>7.2727926373310395E-2</v>
      </c>
      <c r="C18" s="23">
        <v>3.097558321931149E-2</v>
      </c>
      <c r="D18" s="23">
        <v>2.347911445553307</v>
      </c>
      <c r="E18" s="23">
        <v>2.0016212125480312E-2</v>
      </c>
      <c r="F18" s="23">
        <v>1.1586704234514682E-2</v>
      </c>
      <c r="G18" s="23">
        <v>0.1338691485121061</v>
      </c>
      <c r="H18" s="23">
        <v>1.1586704234514682E-2</v>
      </c>
      <c r="I18" s="23">
        <v>0.1338691485121061</v>
      </c>
    </row>
    <row r="19" spans="1:9" ht="15.75" thickBot="1" x14ac:dyDescent="0.3">
      <c r="A19" s="24" t="s">
        <v>126</v>
      </c>
      <c r="B19" s="24">
        <v>0.11870212042774596</v>
      </c>
      <c r="C19" s="24">
        <v>3.2450510577071288E-2</v>
      </c>
      <c r="D19" s="24">
        <v>3.6579430744494319</v>
      </c>
      <c r="E19" s="24">
        <v>3.3776338424944486E-4</v>
      </c>
      <c r="F19" s="24">
        <v>5.4649609723989259E-2</v>
      </c>
      <c r="G19" s="24">
        <v>0.18275463113150264</v>
      </c>
      <c r="H19" s="24">
        <v>5.4649609723989259E-2</v>
      </c>
      <c r="I19" s="24">
        <v>0.18275463113150264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719A-65EE-4435-B7EC-7FD5EA742D53}">
  <sheetPr>
    <tabColor theme="8" tint="0.79998168889431442"/>
  </sheetPr>
  <dimension ref="B2:J219"/>
  <sheetViews>
    <sheetView showGridLines="0" workbookViewId="0">
      <selection activeCell="C3" sqref="C3"/>
    </sheetView>
  </sheetViews>
  <sheetFormatPr defaultRowHeight="15" x14ac:dyDescent="0.25"/>
  <cols>
    <col min="1" max="2" width="9.140625" style="28"/>
    <col min="3" max="3" width="10" style="29" bestFit="1" customWidth="1"/>
    <col min="4" max="4" width="16.85546875" style="29" bestFit="1" customWidth="1"/>
    <col min="5" max="5" width="19" style="28" bestFit="1" customWidth="1"/>
    <col min="6" max="6" width="16.7109375" style="28" bestFit="1" customWidth="1"/>
    <col min="7" max="7" width="9.140625" style="28"/>
    <col min="8" max="8" width="16.7109375" style="28" bestFit="1" customWidth="1"/>
    <col min="9" max="9" width="12.28515625" style="28" bestFit="1" customWidth="1"/>
    <col min="10" max="10" width="6.28515625" style="28" bestFit="1" customWidth="1"/>
    <col min="11" max="16384" width="9.140625" style="28"/>
  </cols>
  <sheetData>
    <row r="2" spans="2:10" x14ac:dyDescent="0.25">
      <c r="C2" s="43" t="s">
        <v>196</v>
      </c>
      <c r="D2" s="43"/>
    </row>
    <row r="3" spans="2:10" x14ac:dyDescent="0.25">
      <c r="H3" s="4" t="s">
        <v>125</v>
      </c>
    </row>
    <row r="4" spans="2:10" ht="15.75" thickBot="1" x14ac:dyDescent="0.3">
      <c r="C4" s="29" t="s">
        <v>75</v>
      </c>
      <c r="D4" s="31" t="s">
        <v>195</v>
      </c>
      <c r="E4" s="28" t="s">
        <v>130</v>
      </c>
      <c r="F4" s="28" t="s">
        <v>129</v>
      </c>
      <c r="H4" s="32" t="s">
        <v>127</v>
      </c>
      <c r="I4" s="32" t="s">
        <v>158</v>
      </c>
      <c r="J4" s="32" t="s">
        <v>126</v>
      </c>
    </row>
    <row r="5" spans="2:10" ht="15.75" thickBot="1" x14ac:dyDescent="0.3">
      <c r="B5" s="28" t="s">
        <v>159</v>
      </c>
      <c r="C5" s="30" t="s">
        <v>67</v>
      </c>
      <c r="D5" s="30" t="s">
        <v>124</v>
      </c>
      <c r="E5" s="28">
        <v>0</v>
      </c>
      <c r="F5" s="28">
        <v>0</v>
      </c>
      <c r="H5" s="28">
        <v>-1</v>
      </c>
      <c r="I5" s="28">
        <v>-1</v>
      </c>
      <c r="J5" s="28">
        <v>1</v>
      </c>
    </row>
    <row r="6" spans="2:10" ht="15.75" thickBot="1" x14ac:dyDescent="0.3">
      <c r="C6" s="30" t="s">
        <v>67</v>
      </c>
      <c r="D6" s="30" t="s">
        <v>21</v>
      </c>
      <c r="E6" s="28">
        <v>0</v>
      </c>
      <c r="F6" s="28">
        <v>0</v>
      </c>
      <c r="H6" s="28">
        <v>1</v>
      </c>
      <c r="I6" s="28">
        <v>1</v>
      </c>
      <c r="J6" s="28">
        <v>1</v>
      </c>
    </row>
    <row r="7" spans="2:10" ht="15.75" thickBot="1" x14ac:dyDescent="0.3">
      <c r="C7" s="30" t="s">
        <v>67</v>
      </c>
      <c r="D7" s="30" t="s">
        <v>23</v>
      </c>
      <c r="E7" s="28">
        <v>0</v>
      </c>
      <c r="F7" s="28">
        <v>0</v>
      </c>
      <c r="H7" s="28">
        <v>1</v>
      </c>
      <c r="I7" s="39">
        <v>0</v>
      </c>
      <c r="J7" s="39">
        <v>1</v>
      </c>
    </row>
    <row r="8" spans="2:10" ht="15.75" thickBot="1" x14ac:dyDescent="0.3">
      <c r="C8" s="30" t="s">
        <v>67</v>
      </c>
      <c r="D8" s="30" t="s">
        <v>33</v>
      </c>
      <c r="E8" s="28">
        <v>0</v>
      </c>
      <c r="F8" s="28">
        <v>0</v>
      </c>
      <c r="H8" s="28">
        <v>0</v>
      </c>
      <c r="I8" s="39">
        <v>-1</v>
      </c>
      <c r="J8" s="39">
        <v>1</v>
      </c>
    </row>
    <row r="9" spans="2:10" ht="15.75" thickBot="1" x14ac:dyDescent="0.3">
      <c r="C9" s="30" t="s">
        <v>67</v>
      </c>
      <c r="D9" s="30" t="s">
        <v>37</v>
      </c>
      <c r="E9" s="28">
        <v>0</v>
      </c>
      <c r="F9" s="28">
        <v>0</v>
      </c>
      <c r="H9" s="28">
        <v>0</v>
      </c>
      <c r="I9" s="39">
        <v>0</v>
      </c>
      <c r="J9" s="39">
        <v>1</v>
      </c>
    </row>
    <row r="10" spans="2:10" ht="15.75" thickBot="1" x14ac:dyDescent="0.3">
      <c r="B10" s="28" t="s">
        <v>161</v>
      </c>
      <c r="C10" s="27" t="s">
        <v>66</v>
      </c>
      <c r="D10" s="27" t="s">
        <v>124</v>
      </c>
      <c r="E10" s="28">
        <v>0</v>
      </c>
      <c r="F10" s="28">
        <v>0</v>
      </c>
      <c r="H10" s="28">
        <v>-1</v>
      </c>
      <c r="I10" s="39">
        <v>0</v>
      </c>
      <c r="J10" s="39">
        <v>1</v>
      </c>
    </row>
    <row r="11" spans="2:10" ht="15.75" thickBot="1" x14ac:dyDescent="0.3">
      <c r="C11" s="27" t="s">
        <v>66</v>
      </c>
      <c r="D11" s="27" t="s">
        <v>21</v>
      </c>
      <c r="E11" s="28">
        <v>0</v>
      </c>
      <c r="F11" s="28">
        <v>0</v>
      </c>
      <c r="H11" s="28">
        <v>1</v>
      </c>
      <c r="I11" s="28">
        <v>1</v>
      </c>
      <c r="J11" s="28">
        <v>1</v>
      </c>
    </row>
    <row r="12" spans="2:10" ht="15.75" thickBot="1" x14ac:dyDescent="0.3">
      <c r="C12" s="27" t="s">
        <v>66</v>
      </c>
      <c r="D12" s="27" t="s">
        <v>23</v>
      </c>
      <c r="E12" s="28">
        <v>0</v>
      </c>
      <c r="F12" s="28">
        <v>0</v>
      </c>
      <c r="H12" s="28">
        <v>1</v>
      </c>
      <c r="I12" s="28">
        <v>0</v>
      </c>
      <c r="J12" s="39">
        <v>1</v>
      </c>
    </row>
    <row r="13" spans="2:10" ht="15.75" thickBot="1" x14ac:dyDescent="0.3">
      <c r="C13" s="27" t="s">
        <v>66</v>
      </c>
      <c r="D13" s="27" t="s">
        <v>33</v>
      </c>
      <c r="E13" s="28">
        <v>0</v>
      </c>
      <c r="F13" s="28">
        <v>0</v>
      </c>
      <c r="H13" s="32">
        <v>-1</v>
      </c>
      <c r="I13" s="41">
        <v>-1</v>
      </c>
      <c r="J13" s="41">
        <v>1</v>
      </c>
    </row>
    <row r="14" spans="2:10" ht="15.75" thickBot="1" x14ac:dyDescent="0.3">
      <c r="C14" s="27" t="s">
        <v>66</v>
      </c>
      <c r="D14" s="27" t="s">
        <v>37</v>
      </c>
      <c r="E14" s="28">
        <v>0</v>
      </c>
      <c r="F14" s="28">
        <v>0</v>
      </c>
      <c r="H14" s="32">
        <v>1</v>
      </c>
      <c r="I14" s="41">
        <v>1</v>
      </c>
      <c r="J14" s="41">
        <v>2</v>
      </c>
    </row>
    <row r="15" spans="2:10" ht="15.75" thickBot="1" x14ac:dyDescent="0.3">
      <c r="C15" s="30" t="s">
        <v>65</v>
      </c>
      <c r="D15" s="30" t="s">
        <v>124</v>
      </c>
      <c r="E15" s="28">
        <v>0</v>
      </c>
      <c r="F15" s="28">
        <v>0</v>
      </c>
      <c r="H15" s="32">
        <v>-1</v>
      </c>
      <c r="I15" s="41">
        <v>0</v>
      </c>
      <c r="J15" s="41">
        <v>1</v>
      </c>
    </row>
    <row r="16" spans="2:10" ht="15.75" thickBot="1" x14ac:dyDescent="0.3">
      <c r="C16" s="30" t="s">
        <v>65</v>
      </c>
      <c r="D16" s="30" t="s">
        <v>21</v>
      </c>
      <c r="E16" s="28">
        <v>0</v>
      </c>
      <c r="F16" s="28">
        <v>0</v>
      </c>
      <c r="H16" s="32">
        <v>1</v>
      </c>
      <c r="I16" s="41">
        <v>-1</v>
      </c>
      <c r="J16" s="41">
        <v>1</v>
      </c>
    </row>
    <row r="17" spans="2:10" ht="15.75" thickBot="1" x14ac:dyDescent="0.3">
      <c r="C17" s="30" t="s">
        <v>65</v>
      </c>
      <c r="D17" s="30" t="s">
        <v>23</v>
      </c>
      <c r="E17" s="28">
        <v>0</v>
      </c>
      <c r="F17" s="28">
        <v>0</v>
      </c>
      <c r="H17" s="32">
        <v>1</v>
      </c>
      <c r="I17" s="41">
        <v>1</v>
      </c>
      <c r="J17" s="41">
        <v>1</v>
      </c>
    </row>
    <row r="18" spans="2:10" ht="15.75" thickBot="1" x14ac:dyDescent="0.3">
      <c r="C18" s="30" t="s">
        <v>65</v>
      </c>
      <c r="D18" s="30" t="s">
        <v>33</v>
      </c>
      <c r="E18" s="28">
        <v>0</v>
      </c>
      <c r="F18" s="28">
        <v>0</v>
      </c>
      <c r="H18" s="32">
        <v>1</v>
      </c>
      <c r="I18" s="41">
        <v>1</v>
      </c>
      <c r="J18" s="41">
        <v>1</v>
      </c>
    </row>
    <row r="19" spans="2:10" ht="15.75" thickBot="1" x14ac:dyDescent="0.3">
      <c r="B19" s="4">
        <v>2026</v>
      </c>
      <c r="C19" s="30" t="s">
        <v>65</v>
      </c>
      <c r="D19" s="30" t="s">
        <v>37</v>
      </c>
      <c r="E19" s="28">
        <v>0</v>
      </c>
      <c r="F19" s="28">
        <v>0</v>
      </c>
      <c r="H19" s="32">
        <v>1</v>
      </c>
      <c r="I19" s="32">
        <v>1</v>
      </c>
      <c r="J19" s="32">
        <v>2</v>
      </c>
    </row>
    <row r="20" spans="2:10" ht="15.75" thickBot="1" x14ac:dyDescent="0.3">
      <c r="B20" s="28" t="s">
        <v>169</v>
      </c>
      <c r="C20" s="27" t="s">
        <v>71</v>
      </c>
      <c r="D20" s="27" t="s">
        <v>124</v>
      </c>
      <c r="E20" s="28">
        <v>-0.25</v>
      </c>
      <c r="F20" s="28">
        <v>-0.25</v>
      </c>
      <c r="H20" s="32">
        <v>-1</v>
      </c>
      <c r="I20" s="32">
        <v>-1</v>
      </c>
      <c r="J20" s="32">
        <v>1</v>
      </c>
    </row>
    <row r="21" spans="2:10" ht="15.75" thickBot="1" x14ac:dyDescent="0.3">
      <c r="B21" s="4"/>
      <c r="C21" s="27" t="s">
        <v>71</v>
      </c>
      <c r="D21" s="27" t="s">
        <v>19</v>
      </c>
      <c r="E21" s="28">
        <v>-0.25</v>
      </c>
      <c r="F21" s="28">
        <v>-0.25</v>
      </c>
      <c r="H21" s="32">
        <v>1</v>
      </c>
      <c r="I21" s="32">
        <v>-1</v>
      </c>
      <c r="J21" s="32">
        <v>1</v>
      </c>
    </row>
    <row r="22" spans="2:10" ht="15.75" thickBot="1" x14ac:dyDescent="0.3">
      <c r="B22" s="4"/>
      <c r="C22" s="27" t="s">
        <v>71</v>
      </c>
      <c r="D22" s="27" t="s">
        <v>29</v>
      </c>
      <c r="E22" s="28">
        <v>0</v>
      </c>
      <c r="F22" s="28">
        <v>-0.25</v>
      </c>
      <c r="H22" s="32">
        <v>1</v>
      </c>
      <c r="I22" s="32">
        <v>1</v>
      </c>
      <c r="J22" s="32">
        <v>1</v>
      </c>
    </row>
    <row r="23" spans="2:10" ht="15.75" thickBot="1" x14ac:dyDescent="0.3">
      <c r="B23" s="4"/>
      <c r="C23" s="27" t="s">
        <v>71</v>
      </c>
      <c r="D23" s="27" t="s">
        <v>31</v>
      </c>
      <c r="E23" s="28">
        <v>-0.25</v>
      </c>
      <c r="F23" s="28">
        <v>-0.25</v>
      </c>
      <c r="H23" s="32">
        <v>0</v>
      </c>
      <c r="I23" s="32">
        <v>0</v>
      </c>
      <c r="J23" s="32">
        <v>1</v>
      </c>
    </row>
    <row r="24" spans="2:10" ht="15.75" thickBot="1" x14ac:dyDescent="0.3">
      <c r="B24" s="4"/>
      <c r="C24" s="27" t="s">
        <v>71</v>
      </c>
      <c r="D24" s="27" t="s">
        <v>35</v>
      </c>
      <c r="E24" s="28">
        <v>0</v>
      </c>
      <c r="F24" s="28">
        <v>-0.25</v>
      </c>
      <c r="H24" s="32">
        <v>-1</v>
      </c>
      <c r="I24" s="32">
        <v>0</v>
      </c>
      <c r="J24" s="32">
        <v>1</v>
      </c>
    </row>
    <row r="25" spans="2:10" ht="15.75" thickBot="1" x14ac:dyDescent="0.3">
      <c r="B25" s="28" t="s">
        <v>168</v>
      </c>
      <c r="C25" s="30" t="s">
        <v>74</v>
      </c>
      <c r="D25" s="30" t="s">
        <v>124</v>
      </c>
      <c r="E25" s="28">
        <v>-0.25</v>
      </c>
      <c r="F25" s="28">
        <v>-0.25</v>
      </c>
      <c r="H25" s="32">
        <v>-1</v>
      </c>
      <c r="I25" s="32">
        <v>0</v>
      </c>
      <c r="J25" s="32">
        <v>1</v>
      </c>
    </row>
    <row r="26" spans="2:10" ht="15.75" thickBot="1" x14ac:dyDescent="0.3">
      <c r="C26" s="30" t="s">
        <v>74</v>
      </c>
      <c r="D26" s="30" t="s">
        <v>19</v>
      </c>
      <c r="E26" s="28">
        <v>-0.25</v>
      </c>
      <c r="F26" s="28">
        <v>-0.25</v>
      </c>
      <c r="H26" s="32">
        <v>1</v>
      </c>
      <c r="I26" s="32">
        <v>0</v>
      </c>
      <c r="J26" s="32">
        <v>1</v>
      </c>
    </row>
    <row r="27" spans="2:10" ht="15.75" thickBot="1" x14ac:dyDescent="0.3">
      <c r="C27" s="30" t="s">
        <v>74</v>
      </c>
      <c r="D27" s="30" t="s">
        <v>29</v>
      </c>
      <c r="E27" s="28">
        <v>-0.25</v>
      </c>
      <c r="F27" s="28">
        <v>-0.25</v>
      </c>
      <c r="H27" s="32">
        <v>0</v>
      </c>
      <c r="I27" s="32">
        <v>0</v>
      </c>
      <c r="J27" s="32">
        <v>1</v>
      </c>
    </row>
    <row r="28" spans="2:10" ht="15.75" thickBot="1" x14ac:dyDescent="0.3">
      <c r="C28" s="30" t="s">
        <v>74</v>
      </c>
      <c r="D28" s="30" t="s">
        <v>31</v>
      </c>
      <c r="E28" s="28">
        <v>-0.25</v>
      </c>
      <c r="F28" s="28">
        <v>-0.25</v>
      </c>
      <c r="H28" s="32">
        <v>0</v>
      </c>
      <c r="I28" s="32">
        <v>0</v>
      </c>
      <c r="J28" s="32">
        <v>1</v>
      </c>
    </row>
    <row r="29" spans="2:10" ht="15.75" thickBot="1" x14ac:dyDescent="0.3">
      <c r="C29" s="30" t="s">
        <v>74</v>
      </c>
      <c r="D29" s="30" t="s">
        <v>35</v>
      </c>
      <c r="E29" s="28">
        <v>0</v>
      </c>
      <c r="F29" s="28">
        <v>-0.25</v>
      </c>
      <c r="H29" s="32">
        <v>-1</v>
      </c>
      <c r="I29" s="32">
        <v>-1</v>
      </c>
      <c r="J29" s="32">
        <v>0</v>
      </c>
    </row>
    <row r="30" spans="2:10" ht="15.75" thickBot="1" x14ac:dyDescent="0.3">
      <c r="B30" s="28" t="s">
        <v>167</v>
      </c>
      <c r="C30" s="27" t="s">
        <v>70</v>
      </c>
      <c r="D30" s="27" t="s">
        <v>124</v>
      </c>
      <c r="E30" s="28">
        <v>-0.25</v>
      </c>
      <c r="F30" s="28">
        <v>-0.25</v>
      </c>
      <c r="H30" s="32">
        <v>-1</v>
      </c>
      <c r="I30" s="32">
        <v>0</v>
      </c>
      <c r="J30" s="32">
        <v>1</v>
      </c>
    </row>
    <row r="31" spans="2:10" ht="15.75" thickBot="1" x14ac:dyDescent="0.3">
      <c r="C31" s="27" t="s">
        <v>70</v>
      </c>
      <c r="D31" s="27" t="s">
        <v>19</v>
      </c>
      <c r="E31" s="28">
        <v>-0.25</v>
      </c>
      <c r="F31" s="28">
        <v>-0.25</v>
      </c>
      <c r="H31" s="32">
        <v>1</v>
      </c>
      <c r="I31" s="32">
        <v>-1</v>
      </c>
      <c r="J31" s="32">
        <v>1</v>
      </c>
    </row>
    <row r="32" spans="2:10" ht="15.75" thickBot="1" x14ac:dyDescent="0.3">
      <c r="C32" s="27" t="s">
        <v>70</v>
      </c>
      <c r="D32" s="27" t="s">
        <v>29</v>
      </c>
      <c r="E32" s="28">
        <v>-0.25</v>
      </c>
      <c r="F32" s="28">
        <v>-0.25</v>
      </c>
      <c r="H32" s="32">
        <v>1</v>
      </c>
      <c r="I32" s="32">
        <v>1</v>
      </c>
      <c r="J32" s="32">
        <v>1</v>
      </c>
    </row>
    <row r="33" spans="2:10" ht="15.75" thickBot="1" x14ac:dyDescent="0.3">
      <c r="C33" s="27" t="s">
        <v>70</v>
      </c>
      <c r="D33" s="27" t="s">
        <v>31</v>
      </c>
      <c r="E33" s="28">
        <v>-0.25</v>
      </c>
      <c r="F33" s="28">
        <v>-0.25</v>
      </c>
      <c r="H33" s="32">
        <v>0</v>
      </c>
      <c r="I33" s="32">
        <v>0</v>
      </c>
      <c r="J33" s="32">
        <v>1</v>
      </c>
    </row>
    <row r="34" spans="2:10" ht="15.75" thickBot="1" x14ac:dyDescent="0.3">
      <c r="C34" s="27" t="s">
        <v>70</v>
      </c>
      <c r="D34" s="27" t="s">
        <v>35</v>
      </c>
      <c r="E34" s="28">
        <v>-0.25</v>
      </c>
      <c r="F34" s="28">
        <v>-0.25</v>
      </c>
      <c r="H34" s="32">
        <v>0</v>
      </c>
      <c r="I34" s="32">
        <v>-1</v>
      </c>
      <c r="J34" s="32">
        <v>1</v>
      </c>
    </row>
    <row r="35" spans="2:10" ht="15.75" thickBot="1" x14ac:dyDescent="0.3">
      <c r="B35" s="28" t="s">
        <v>166</v>
      </c>
      <c r="C35" s="30" t="s">
        <v>69</v>
      </c>
      <c r="D35" s="30" t="s">
        <v>124</v>
      </c>
      <c r="E35" s="28">
        <v>0</v>
      </c>
      <c r="F35" s="28">
        <v>0</v>
      </c>
      <c r="H35" s="32">
        <v>-1</v>
      </c>
      <c r="I35" s="32">
        <v>1</v>
      </c>
      <c r="J35" s="32">
        <v>1</v>
      </c>
    </row>
    <row r="36" spans="2:10" ht="15.75" thickBot="1" x14ac:dyDescent="0.3">
      <c r="C36" s="30" t="s">
        <v>69</v>
      </c>
      <c r="D36" s="30" t="s">
        <v>19</v>
      </c>
      <c r="E36" s="28">
        <v>0</v>
      </c>
      <c r="F36" s="28">
        <v>0</v>
      </c>
      <c r="H36" s="32">
        <v>0</v>
      </c>
      <c r="I36" s="32">
        <v>0</v>
      </c>
      <c r="J36" s="32">
        <v>1</v>
      </c>
    </row>
    <row r="37" spans="2:10" ht="15.75" thickBot="1" x14ac:dyDescent="0.3">
      <c r="C37" s="30" t="s">
        <v>69</v>
      </c>
      <c r="D37" s="30" t="s">
        <v>29</v>
      </c>
      <c r="E37" s="28">
        <v>0</v>
      </c>
      <c r="F37" s="28">
        <v>0</v>
      </c>
      <c r="H37" s="32">
        <v>1</v>
      </c>
      <c r="I37" s="32">
        <v>1</v>
      </c>
      <c r="J37" s="32">
        <v>1</v>
      </c>
    </row>
    <row r="38" spans="2:10" ht="15.75" thickBot="1" x14ac:dyDescent="0.3">
      <c r="C38" s="30" t="s">
        <v>69</v>
      </c>
      <c r="D38" s="30" t="s">
        <v>31</v>
      </c>
      <c r="E38" s="28">
        <v>0</v>
      </c>
      <c r="F38" s="28">
        <v>0</v>
      </c>
      <c r="H38" s="32">
        <v>0</v>
      </c>
      <c r="I38" s="32">
        <v>0</v>
      </c>
      <c r="J38" s="32">
        <v>1</v>
      </c>
    </row>
    <row r="39" spans="2:10" ht="15.75" thickBot="1" x14ac:dyDescent="0.3">
      <c r="C39" s="30" t="s">
        <v>69</v>
      </c>
      <c r="D39" s="30" t="s">
        <v>35</v>
      </c>
      <c r="E39" s="28">
        <v>0</v>
      </c>
      <c r="F39" s="28">
        <v>0</v>
      </c>
      <c r="H39" s="32">
        <v>0</v>
      </c>
      <c r="I39" s="32">
        <v>0</v>
      </c>
      <c r="J39" s="32">
        <v>1</v>
      </c>
    </row>
    <row r="40" spans="2:10" ht="15.75" thickBot="1" x14ac:dyDescent="0.3">
      <c r="B40" s="28" t="s">
        <v>165</v>
      </c>
      <c r="C40" s="27" t="s">
        <v>68</v>
      </c>
      <c r="D40" s="27" t="s">
        <v>124</v>
      </c>
      <c r="E40" s="28">
        <v>0</v>
      </c>
      <c r="F40" s="28">
        <v>0</v>
      </c>
      <c r="H40" s="32">
        <v>-1</v>
      </c>
      <c r="I40" s="32">
        <v>0</v>
      </c>
      <c r="J40" s="32">
        <v>1</v>
      </c>
    </row>
    <row r="41" spans="2:10" ht="15.75" thickBot="1" x14ac:dyDescent="0.3">
      <c r="C41" s="27" t="s">
        <v>68</v>
      </c>
      <c r="D41" s="27" t="s">
        <v>19</v>
      </c>
      <c r="E41" s="28">
        <v>0</v>
      </c>
      <c r="F41" s="28">
        <v>0</v>
      </c>
      <c r="H41" s="32">
        <v>-1</v>
      </c>
      <c r="I41" s="32">
        <v>-1</v>
      </c>
      <c r="J41" s="32">
        <v>1</v>
      </c>
    </row>
    <row r="42" spans="2:10" ht="15.75" thickBot="1" x14ac:dyDescent="0.3">
      <c r="C42" s="27" t="s">
        <v>68</v>
      </c>
      <c r="D42" s="27" t="s">
        <v>29</v>
      </c>
      <c r="E42" s="28">
        <v>0</v>
      </c>
      <c r="F42" s="28">
        <v>0</v>
      </c>
      <c r="H42" s="32">
        <v>1</v>
      </c>
      <c r="I42" s="32">
        <v>1</v>
      </c>
      <c r="J42" s="32">
        <v>1</v>
      </c>
    </row>
    <row r="43" spans="2:10" ht="15.75" thickBot="1" x14ac:dyDescent="0.3">
      <c r="C43" s="27" t="s">
        <v>68</v>
      </c>
      <c r="D43" s="27" t="s">
        <v>31</v>
      </c>
      <c r="E43" s="28">
        <v>0</v>
      </c>
      <c r="F43" s="28">
        <v>0</v>
      </c>
      <c r="H43" s="32">
        <v>0</v>
      </c>
      <c r="I43" s="32">
        <v>0</v>
      </c>
      <c r="J43" s="32">
        <v>0</v>
      </c>
    </row>
    <row r="44" spans="2:10" ht="15.75" thickBot="1" x14ac:dyDescent="0.3">
      <c r="C44" s="27" t="s">
        <v>68</v>
      </c>
      <c r="D44" s="27" t="s">
        <v>35</v>
      </c>
      <c r="E44" s="28">
        <v>0</v>
      </c>
      <c r="F44" s="28">
        <v>0</v>
      </c>
      <c r="H44" s="32">
        <v>-1</v>
      </c>
      <c r="I44" s="32">
        <v>0</v>
      </c>
      <c r="J44" s="32">
        <v>0</v>
      </c>
    </row>
    <row r="45" spans="2:10" ht="15.75" thickBot="1" x14ac:dyDescent="0.3">
      <c r="B45" s="28" t="s">
        <v>164</v>
      </c>
      <c r="C45" s="30" t="s">
        <v>72</v>
      </c>
      <c r="D45" s="30" t="s">
        <v>124</v>
      </c>
      <c r="E45" s="28">
        <v>0</v>
      </c>
      <c r="F45" s="28">
        <v>0</v>
      </c>
      <c r="H45" s="32">
        <v>-1</v>
      </c>
      <c r="I45" s="32">
        <v>1</v>
      </c>
      <c r="J45" s="32">
        <v>1</v>
      </c>
    </row>
    <row r="46" spans="2:10" ht="15.75" thickBot="1" x14ac:dyDescent="0.3">
      <c r="C46" s="30" t="s">
        <v>72</v>
      </c>
      <c r="D46" s="30" t="s">
        <v>19</v>
      </c>
      <c r="E46" s="28">
        <v>0</v>
      </c>
      <c r="F46" s="28">
        <v>0</v>
      </c>
      <c r="H46" s="32">
        <v>1</v>
      </c>
      <c r="I46" s="32">
        <v>1</v>
      </c>
      <c r="J46" s="32">
        <v>1</v>
      </c>
    </row>
    <row r="47" spans="2:10" ht="15.75" thickBot="1" x14ac:dyDescent="0.3">
      <c r="C47" s="30" t="s">
        <v>72</v>
      </c>
      <c r="D47" s="30" t="s">
        <v>29</v>
      </c>
      <c r="E47" s="28">
        <v>0</v>
      </c>
      <c r="F47" s="28">
        <v>0</v>
      </c>
      <c r="H47" s="32">
        <v>0</v>
      </c>
      <c r="I47" s="32">
        <v>1</v>
      </c>
      <c r="J47" s="32">
        <v>1</v>
      </c>
    </row>
    <row r="48" spans="2:10" ht="15.75" thickBot="1" x14ac:dyDescent="0.3">
      <c r="C48" s="30" t="s">
        <v>72</v>
      </c>
      <c r="D48" s="30" t="s">
        <v>31</v>
      </c>
      <c r="E48" s="28">
        <v>0</v>
      </c>
      <c r="F48" s="28">
        <v>0</v>
      </c>
      <c r="H48" s="32">
        <v>0</v>
      </c>
      <c r="I48" s="32">
        <v>0</v>
      </c>
      <c r="J48" s="32">
        <v>0</v>
      </c>
    </row>
    <row r="49" spans="2:10" ht="15.75" thickBot="1" x14ac:dyDescent="0.3">
      <c r="C49" s="30" t="s">
        <v>72</v>
      </c>
      <c r="D49" s="30" t="s">
        <v>35</v>
      </c>
      <c r="E49" s="28">
        <v>0</v>
      </c>
      <c r="F49" s="28">
        <v>0</v>
      </c>
      <c r="H49" s="32">
        <v>1</v>
      </c>
      <c r="I49" s="32">
        <v>0</v>
      </c>
      <c r="J49" s="32">
        <v>0</v>
      </c>
    </row>
    <row r="50" spans="2:10" ht="15.75" thickBot="1" x14ac:dyDescent="0.3">
      <c r="B50" s="28" t="s">
        <v>163</v>
      </c>
      <c r="C50" s="27" t="s">
        <v>66</v>
      </c>
      <c r="D50" s="27" t="s">
        <v>124</v>
      </c>
      <c r="E50" s="28">
        <v>0</v>
      </c>
      <c r="F50" s="28">
        <v>0</v>
      </c>
      <c r="H50" s="32">
        <v>0</v>
      </c>
      <c r="I50" s="32">
        <v>1</v>
      </c>
      <c r="J50" s="32">
        <v>1</v>
      </c>
    </row>
    <row r="51" spans="2:10" ht="15.75" thickBot="1" x14ac:dyDescent="0.3">
      <c r="C51" s="27" t="s">
        <v>66</v>
      </c>
      <c r="D51" s="27" t="s">
        <v>19</v>
      </c>
      <c r="E51" s="28">
        <v>0</v>
      </c>
      <c r="F51" s="28">
        <v>0</v>
      </c>
      <c r="H51" s="32">
        <v>1</v>
      </c>
      <c r="I51" s="32">
        <v>-1</v>
      </c>
      <c r="J51" s="32">
        <v>1</v>
      </c>
    </row>
    <row r="52" spans="2:10" ht="15.75" thickBot="1" x14ac:dyDescent="0.3">
      <c r="C52" s="27" t="s">
        <v>66</v>
      </c>
      <c r="D52" s="27" t="s">
        <v>29</v>
      </c>
      <c r="E52" s="28">
        <v>0</v>
      </c>
      <c r="F52" s="28">
        <v>0</v>
      </c>
      <c r="H52" s="32">
        <v>0</v>
      </c>
      <c r="I52" s="32">
        <v>1</v>
      </c>
      <c r="J52" s="32">
        <v>1</v>
      </c>
    </row>
    <row r="53" spans="2:10" ht="15.75" thickBot="1" x14ac:dyDescent="0.3">
      <c r="C53" s="27" t="s">
        <v>66</v>
      </c>
      <c r="D53" s="27" t="s">
        <v>31</v>
      </c>
      <c r="E53" s="28">
        <v>0</v>
      </c>
      <c r="F53" s="28">
        <v>0</v>
      </c>
      <c r="H53" s="32">
        <v>0</v>
      </c>
      <c r="I53" s="32">
        <v>0</v>
      </c>
      <c r="J53" s="32">
        <v>1</v>
      </c>
    </row>
    <row r="54" spans="2:10" ht="15.75" thickBot="1" x14ac:dyDescent="0.3">
      <c r="C54" s="27" t="s">
        <v>66</v>
      </c>
      <c r="D54" s="27" t="s">
        <v>35</v>
      </c>
      <c r="E54" s="28">
        <v>0</v>
      </c>
      <c r="F54" s="28">
        <v>0</v>
      </c>
      <c r="H54" s="32">
        <v>0</v>
      </c>
      <c r="I54" s="32">
        <v>0</v>
      </c>
      <c r="J54" s="32">
        <v>1</v>
      </c>
    </row>
    <row r="55" spans="2:10" ht="15.75" thickBot="1" x14ac:dyDescent="0.3">
      <c r="B55" s="28" t="s">
        <v>162</v>
      </c>
      <c r="C55" s="30" t="s">
        <v>65</v>
      </c>
      <c r="D55" s="30" t="s">
        <v>124</v>
      </c>
      <c r="E55" s="28">
        <v>0</v>
      </c>
      <c r="F55" s="28">
        <v>0</v>
      </c>
      <c r="H55" s="32">
        <v>1</v>
      </c>
      <c r="I55" s="32">
        <v>1</v>
      </c>
      <c r="J55" s="32">
        <v>1</v>
      </c>
    </row>
    <row r="56" spans="2:10" ht="15.75" thickBot="1" x14ac:dyDescent="0.3">
      <c r="C56" s="30" t="s">
        <v>65</v>
      </c>
      <c r="D56" s="30" t="s">
        <v>19</v>
      </c>
      <c r="E56" s="28">
        <v>0</v>
      </c>
      <c r="F56" s="28">
        <v>0</v>
      </c>
      <c r="H56" s="32">
        <v>1</v>
      </c>
      <c r="I56" s="32">
        <v>0</v>
      </c>
      <c r="J56" s="32">
        <v>0</v>
      </c>
    </row>
    <row r="57" spans="2:10" ht="15.75" thickBot="1" x14ac:dyDescent="0.3">
      <c r="C57" s="30" t="s">
        <v>65</v>
      </c>
      <c r="D57" s="30" t="s">
        <v>29</v>
      </c>
      <c r="E57" s="28">
        <v>0</v>
      </c>
      <c r="F57" s="28">
        <v>0</v>
      </c>
      <c r="H57" s="32">
        <v>1</v>
      </c>
      <c r="I57" s="32">
        <v>1</v>
      </c>
      <c r="J57" s="32">
        <v>1</v>
      </c>
    </row>
    <row r="58" spans="2:10" ht="15.75" thickBot="1" x14ac:dyDescent="0.3">
      <c r="C58" s="30" t="s">
        <v>65</v>
      </c>
      <c r="D58" s="30" t="s">
        <v>31</v>
      </c>
      <c r="E58" s="28">
        <v>0</v>
      </c>
      <c r="F58" s="28">
        <v>0</v>
      </c>
      <c r="H58" s="32">
        <v>1</v>
      </c>
      <c r="I58" s="32">
        <v>0</v>
      </c>
      <c r="J58" s="32">
        <v>0</v>
      </c>
    </row>
    <row r="59" spans="2:10" ht="15.75" thickBot="1" x14ac:dyDescent="0.3">
      <c r="B59" s="4">
        <v>2025</v>
      </c>
      <c r="C59" s="30" t="s">
        <v>65</v>
      </c>
      <c r="D59" s="30" t="s">
        <v>35</v>
      </c>
      <c r="E59" s="28">
        <v>0</v>
      </c>
      <c r="F59" s="28">
        <v>0</v>
      </c>
      <c r="H59" s="32">
        <v>1</v>
      </c>
      <c r="I59" s="32">
        <v>0</v>
      </c>
      <c r="J59" s="32">
        <v>0</v>
      </c>
    </row>
    <row r="60" spans="2:10" ht="15.75" thickBot="1" x14ac:dyDescent="0.3">
      <c r="B60" s="28" t="s">
        <v>177</v>
      </c>
      <c r="C60" s="27" t="s">
        <v>71</v>
      </c>
      <c r="D60" s="27" t="s">
        <v>124</v>
      </c>
      <c r="E60" s="28">
        <v>-0.25</v>
      </c>
      <c r="F60" s="28">
        <v>-0.25</v>
      </c>
      <c r="G60" s="33"/>
      <c r="H60" s="40">
        <v>1</v>
      </c>
      <c r="I60" s="40">
        <v>1</v>
      </c>
      <c r="J60" s="40">
        <v>1</v>
      </c>
    </row>
    <row r="61" spans="2:10" ht="15.75" thickBot="1" x14ac:dyDescent="0.3">
      <c r="B61" s="4"/>
      <c r="C61" s="27" t="s">
        <v>71</v>
      </c>
      <c r="D61" s="27" t="s">
        <v>23</v>
      </c>
      <c r="E61" s="28">
        <v>0</v>
      </c>
      <c r="F61" s="28">
        <v>-0.25</v>
      </c>
      <c r="H61" s="40">
        <v>1</v>
      </c>
      <c r="I61" s="40">
        <v>1</v>
      </c>
      <c r="J61" s="40">
        <v>1</v>
      </c>
    </row>
    <row r="62" spans="2:10" ht="15.75" thickBot="1" x14ac:dyDescent="0.3">
      <c r="B62" s="4"/>
      <c r="C62" s="27" t="s">
        <v>71</v>
      </c>
      <c r="D62" s="27" t="s">
        <v>25</v>
      </c>
      <c r="E62" s="28">
        <v>-0.25</v>
      </c>
      <c r="F62" s="28">
        <v>-0.25</v>
      </c>
      <c r="H62" s="40">
        <v>1</v>
      </c>
      <c r="I62" s="40">
        <v>0</v>
      </c>
      <c r="J62" s="40">
        <v>0</v>
      </c>
    </row>
    <row r="63" spans="2:10" ht="15.75" thickBot="1" x14ac:dyDescent="0.3">
      <c r="B63" s="4"/>
      <c r="C63" s="27" t="s">
        <v>71</v>
      </c>
      <c r="D63" s="27" t="s">
        <v>27</v>
      </c>
      <c r="E63" s="28">
        <v>-0.25</v>
      </c>
      <c r="F63" s="28">
        <v>-0.25</v>
      </c>
      <c r="H63" s="40">
        <v>1</v>
      </c>
      <c r="I63" s="40">
        <v>0</v>
      </c>
      <c r="J63" s="40">
        <v>0</v>
      </c>
    </row>
    <row r="64" spans="2:10" ht="15.75" thickBot="1" x14ac:dyDescent="0.3">
      <c r="B64" s="4"/>
      <c r="C64" s="27" t="s">
        <v>71</v>
      </c>
      <c r="D64" s="27" t="s">
        <v>39</v>
      </c>
      <c r="E64" s="28">
        <v>-0.25</v>
      </c>
      <c r="F64" s="28">
        <v>-0.25</v>
      </c>
      <c r="H64" s="40">
        <v>0</v>
      </c>
      <c r="I64" s="40">
        <v>0</v>
      </c>
      <c r="J64" s="40">
        <v>1</v>
      </c>
    </row>
    <row r="65" spans="2:10" ht="15.75" thickBot="1" x14ac:dyDescent="0.3">
      <c r="B65" s="28" t="s">
        <v>176</v>
      </c>
      <c r="C65" s="30" t="s">
        <v>73</v>
      </c>
      <c r="D65" s="30" t="s">
        <v>124</v>
      </c>
      <c r="E65" s="28">
        <v>-0.25</v>
      </c>
      <c r="F65" s="28">
        <v>-0.25</v>
      </c>
      <c r="H65" s="40">
        <v>0</v>
      </c>
      <c r="I65" s="40">
        <v>1</v>
      </c>
      <c r="J65" s="40">
        <v>1</v>
      </c>
    </row>
    <row r="66" spans="2:10" ht="15.75" thickBot="1" x14ac:dyDescent="0.3">
      <c r="C66" s="30" t="s">
        <v>73</v>
      </c>
      <c r="D66" s="30" t="s">
        <v>23</v>
      </c>
      <c r="E66" s="28">
        <v>-0.25</v>
      </c>
      <c r="F66" s="28">
        <v>-0.25</v>
      </c>
      <c r="H66" s="40">
        <v>0</v>
      </c>
      <c r="I66" s="40">
        <v>0</v>
      </c>
      <c r="J66" s="40">
        <v>1</v>
      </c>
    </row>
    <row r="67" spans="2:10" ht="15.75" thickBot="1" x14ac:dyDescent="0.3">
      <c r="C67" s="30" t="s">
        <v>73</v>
      </c>
      <c r="D67" s="30" t="s">
        <v>25</v>
      </c>
      <c r="E67" s="28">
        <v>-0.25</v>
      </c>
      <c r="F67" s="28">
        <v>-0.25</v>
      </c>
      <c r="H67" s="40">
        <v>1</v>
      </c>
      <c r="I67" s="40">
        <v>1</v>
      </c>
      <c r="J67" s="40">
        <v>0</v>
      </c>
    </row>
    <row r="68" spans="2:10" ht="15.75" thickBot="1" x14ac:dyDescent="0.3">
      <c r="C68" s="30" t="s">
        <v>73</v>
      </c>
      <c r="D68" s="30" t="s">
        <v>27</v>
      </c>
      <c r="E68" s="28">
        <v>-0.25</v>
      </c>
      <c r="F68" s="28">
        <v>-0.25</v>
      </c>
      <c r="H68" s="40">
        <v>-1</v>
      </c>
      <c r="I68" s="40">
        <v>0</v>
      </c>
      <c r="J68" s="40">
        <v>0</v>
      </c>
    </row>
    <row r="69" spans="2:10" ht="15.75" thickBot="1" x14ac:dyDescent="0.3">
      <c r="C69" s="30" t="s">
        <v>73</v>
      </c>
      <c r="D69" s="30" t="s">
        <v>39</v>
      </c>
      <c r="E69" s="28">
        <v>-0.25</v>
      </c>
      <c r="F69" s="28">
        <v>-0.25</v>
      </c>
      <c r="H69" s="40">
        <v>0</v>
      </c>
      <c r="I69" s="40">
        <v>0</v>
      </c>
      <c r="J69" s="40">
        <v>0</v>
      </c>
    </row>
    <row r="70" spans="2:10" ht="15.75" thickBot="1" x14ac:dyDescent="0.3">
      <c r="B70" s="28" t="s">
        <v>175</v>
      </c>
      <c r="C70" s="27" t="s">
        <v>70</v>
      </c>
      <c r="D70" s="27" t="s">
        <v>124</v>
      </c>
      <c r="E70" s="28">
        <v>-0.5</v>
      </c>
      <c r="F70" s="28">
        <v>-0.5</v>
      </c>
      <c r="H70" s="40">
        <v>0</v>
      </c>
      <c r="I70" s="40">
        <v>0</v>
      </c>
      <c r="J70" s="40">
        <v>1</v>
      </c>
    </row>
    <row r="71" spans="2:10" ht="15.75" thickBot="1" x14ac:dyDescent="0.3">
      <c r="C71" s="27" t="s">
        <v>70</v>
      </c>
      <c r="D71" s="27" t="s">
        <v>23</v>
      </c>
      <c r="E71" s="28">
        <v>-0.5</v>
      </c>
      <c r="F71" s="28">
        <v>-0.5</v>
      </c>
      <c r="H71" s="40">
        <v>-1</v>
      </c>
      <c r="I71" s="40">
        <v>1</v>
      </c>
      <c r="J71" s="40">
        <v>1</v>
      </c>
    </row>
    <row r="72" spans="2:10" ht="15.75" thickBot="1" x14ac:dyDescent="0.3">
      <c r="C72" s="27" t="s">
        <v>70</v>
      </c>
      <c r="D72" s="27" t="s">
        <v>25</v>
      </c>
      <c r="E72" s="28">
        <v>-0.5</v>
      </c>
      <c r="F72" s="28">
        <v>-0.5</v>
      </c>
      <c r="H72" s="40">
        <v>-1</v>
      </c>
      <c r="I72" s="40">
        <v>1</v>
      </c>
      <c r="J72" s="40">
        <v>1</v>
      </c>
    </row>
    <row r="73" spans="2:10" ht="15.75" thickBot="1" x14ac:dyDescent="0.3">
      <c r="C73" s="27" t="s">
        <v>70</v>
      </c>
      <c r="D73" s="27" t="s">
        <v>27</v>
      </c>
      <c r="E73" s="28">
        <v>-0.5</v>
      </c>
      <c r="F73" s="28">
        <v>-0.5</v>
      </c>
      <c r="H73" s="40">
        <v>-1</v>
      </c>
      <c r="I73" s="40">
        <v>1</v>
      </c>
      <c r="J73" s="40">
        <v>1</v>
      </c>
    </row>
    <row r="74" spans="2:10" ht="15.75" thickBot="1" x14ac:dyDescent="0.3">
      <c r="C74" s="27" t="s">
        <v>70</v>
      </c>
      <c r="D74" s="27" t="s">
        <v>39</v>
      </c>
      <c r="E74" s="28">
        <v>-0.5</v>
      </c>
      <c r="F74" s="28">
        <v>-0.5</v>
      </c>
      <c r="H74" s="40">
        <v>0</v>
      </c>
      <c r="I74" s="40">
        <v>1</v>
      </c>
      <c r="J74" s="40">
        <v>1</v>
      </c>
    </row>
    <row r="75" spans="2:10" ht="15.75" thickBot="1" x14ac:dyDescent="0.3">
      <c r="B75" s="28" t="s">
        <v>174</v>
      </c>
      <c r="C75" s="30" t="s">
        <v>69</v>
      </c>
      <c r="D75" s="30" t="s">
        <v>124</v>
      </c>
      <c r="E75" s="28">
        <v>0</v>
      </c>
      <c r="F75" s="28">
        <v>0</v>
      </c>
      <c r="H75" s="40">
        <v>0</v>
      </c>
      <c r="I75" s="40">
        <v>0</v>
      </c>
      <c r="J75" s="40">
        <v>1</v>
      </c>
    </row>
    <row r="76" spans="2:10" ht="15.75" thickBot="1" x14ac:dyDescent="0.3">
      <c r="C76" s="30" t="s">
        <v>69</v>
      </c>
      <c r="D76" s="30" t="s">
        <v>23</v>
      </c>
      <c r="E76" s="28">
        <v>0</v>
      </c>
      <c r="F76" s="28">
        <v>0</v>
      </c>
      <c r="H76" s="40">
        <v>-1</v>
      </c>
      <c r="I76" s="40">
        <v>0</v>
      </c>
      <c r="J76" s="40">
        <v>1</v>
      </c>
    </row>
    <row r="77" spans="2:10" ht="15.75" thickBot="1" x14ac:dyDescent="0.3">
      <c r="C77" s="30" t="s">
        <v>69</v>
      </c>
      <c r="D77" s="30" t="s">
        <v>25</v>
      </c>
      <c r="E77" s="28">
        <v>0</v>
      </c>
      <c r="F77" s="28">
        <v>0</v>
      </c>
      <c r="H77" s="40">
        <v>1</v>
      </c>
      <c r="I77" s="40">
        <v>1</v>
      </c>
      <c r="J77" s="40">
        <v>1</v>
      </c>
    </row>
    <row r="78" spans="2:10" ht="15.75" thickBot="1" x14ac:dyDescent="0.3">
      <c r="C78" s="30" t="s">
        <v>69</v>
      </c>
      <c r="D78" s="30" t="s">
        <v>27</v>
      </c>
      <c r="E78" s="28">
        <v>0</v>
      </c>
      <c r="F78" s="28">
        <v>0</v>
      </c>
      <c r="H78" s="40">
        <v>0</v>
      </c>
      <c r="I78" s="40">
        <v>0</v>
      </c>
      <c r="J78" s="40">
        <v>0</v>
      </c>
    </row>
    <row r="79" spans="2:10" ht="15.75" thickBot="1" x14ac:dyDescent="0.3">
      <c r="C79" s="30" t="s">
        <v>69</v>
      </c>
      <c r="D79" s="30" t="s">
        <v>39</v>
      </c>
      <c r="E79" s="28">
        <v>0</v>
      </c>
      <c r="F79" s="28">
        <v>0</v>
      </c>
      <c r="H79" s="40">
        <v>0</v>
      </c>
      <c r="I79" s="40">
        <v>0</v>
      </c>
      <c r="J79" s="40">
        <v>1</v>
      </c>
    </row>
    <row r="80" spans="2:10" ht="15.75" thickBot="1" x14ac:dyDescent="0.3">
      <c r="B80" s="28" t="s">
        <v>173</v>
      </c>
      <c r="C80" s="27" t="s">
        <v>68</v>
      </c>
      <c r="D80" s="27" t="s">
        <v>124</v>
      </c>
      <c r="E80" s="28">
        <v>0</v>
      </c>
      <c r="F80" s="28">
        <v>0</v>
      </c>
      <c r="H80" s="40">
        <v>1</v>
      </c>
      <c r="I80" s="40">
        <v>0</v>
      </c>
      <c r="J80" s="40">
        <v>1</v>
      </c>
    </row>
    <row r="81" spans="2:10" ht="15.75" thickBot="1" x14ac:dyDescent="0.3">
      <c r="C81" s="27" t="s">
        <v>68</v>
      </c>
      <c r="D81" s="27" t="s">
        <v>23</v>
      </c>
      <c r="E81" s="28">
        <v>0</v>
      </c>
      <c r="F81" s="28">
        <v>0</v>
      </c>
      <c r="H81" s="40">
        <v>1</v>
      </c>
      <c r="I81" s="40">
        <v>0</v>
      </c>
      <c r="J81" s="40">
        <v>0</v>
      </c>
    </row>
    <row r="82" spans="2:10" ht="15.75" thickBot="1" x14ac:dyDescent="0.3">
      <c r="C82" s="27" t="s">
        <v>68</v>
      </c>
      <c r="D82" s="27" t="s">
        <v>25</v>
      </c>
      <c r="E82" s="28">
        <v>0</v>
      </c>
      <c r="F82" s="28">
        <v>0</v>
      </c>
      <c r="H82" s="40">
        <v>1</v>
      </c>
      <c r="I82" s="40">
        <v>0</v>
      </c>
      <c r="J82" s="40">
        <v>0</v>
      </c>
    </row>
    <row r="83" spans="2:10" ht="15.75" thickBot="1" x14ac:dyDescent="0.3">
      <c r="C83" s="27" t="s">
        <v>68</v>
      </c>
      <c r="D83" s="27" t="s">
        <v>27</v>
      </c>
      <c r="E83" s="28">
        <v>0</v>
      </c>
      <c r="F83" s="28">
        <v>0</v>
      </c>
      <c r="H83" s="40">
        <v>1</v>
      </c>
      <c r="I83" s="40">
        <v>0</v>
      </c>
      <c r="J83" s="40">
        <v>0</v>
      </c>
    </row>
    <row r="84" spans="2:10" ht="15.75" thickBot="1" x14ac:dyDescent="0.3">
      <c r="C84" s="27" t="s">
        <v>68</v>
      </c>
      <c r="D84" s="27" t="s">
        <v>39</v>
      </c>
      <c r="E84" s="28">
        <v>0</v>
      </c>
      <c r="F84" s="28">
        <v>0</v>
      </c>
      <c r="H84" s="40">
        <v>0</v>
      </c>
      <c r="I84" s="40">
        <v>0</v>
      </c>
      <c r="J84" s="40">
        <v>1</v>
      </c>
    </row>
    <row r="85" spans="2:10" ht="15.75" thickBot="1" x14ac:dyDescent="0.3">
      <c r="B85" s="28" t="s">
        <v>172</v>
      </c>
      <c r="C85" s="30" t="s">
        <v>67</v>
      </c>
      <c r="D85" s="30" t="s">
        <v>124</v>
      </c>
      <c r="E85" s="28">
        <v>0</v>
      </c>
      <c r="F85" s="28">
        <v>0</v>
      </c>
      <c r="H85" s="40">
        <v>0</v>
      </c>
      <c r="I85" s="40">
        <v>0</v>
      </c>
      <c r="J85" s="40">
        <v>1</v>
      </c>
    </row>
    <row r="86" spans="2:10" ht="15.75" thickBot="1" x14ac:dyDescent="0.3">
      <c r="C86" s="30" t="s">
        <v>67</v>
      </c>
      <c r="D86" s="30" t="s">
        <v>23</v>
      </c>
      <c r="E86" s="28">
        <v>0</v>
      </c>
      <c r="F86" s="28">
        <v>0</v>
      </c>
      <c r="H86" s="40">
        <v>1</v>
      </c>
      <c r="I86" s="40">
        <v>1</v>
      </c>
      <c r="J86" s="40">
        <v>0</v>
      </c>
    </row>
    <row r="87" spans="2:10" ht="15.75" thickBot="1" x14ac:dyDescent="0.3">
      <c r="C87" s="30" t="s">
        <v>67</v>
      </c>
      <c r="D87" s="30" t="s">
        <v>25</v>
      </c>
      <c r="E87" s="28">
        <v>0</v>
      </c>
      <c r="F87" s="28">
        <v>0</v>
      </c>
      <c r="H87" s="40">
        <v>1</v>
      </c>
      <c r="I87" s="40">
        <v>1</v>
      </c>
      <c r="J87" s="40">
        <v>1</v>
      </c>
    </row>
    <row r="88" spans="2:10" ht="15.75" thickBot="1" x14ac:dyDescent="0.3">
      <c r="C88" s="30" t="s">
        <v>67</v>
      </c>
      <c r="D88" s="30" t="s">
        <v>27</v>
      </c>
      <c r="E88" s="28">
        <v>0</v>
      </c>
      <c r="F88" s="28">
        <v>0</v>
      </c>
      <c r="H88" s="40">
        <v>1</v>
      </c>
      <c r="I88" s="40">
        <v>0</v>
      </c>
      <c r="J88" s="40">
        <v>0</v>
      </c>
    </row>
    <row r="89" spans="2:10" ht="15.75" thickBot="1" x14ac:dyDescent="0.3">
      <c r="C89" s="30" t="s">
        <v>67</v>
      </c>
      <c r="D89" s="30" t="s">
        <v>39</v>
      </c>
      <c r="E89" s="28">
        <v>0</v>
      </c>
      <c r="F89" s="28">
        <v>0</v>
      </c>
      <c r="H89" s="40">
        <v>1</v>
      </c>
      <c r="I89" s="40">
        <v>0</v>
      </c>
      <c r="J89" s="40">
        <v>1</v>
      </c>
    </row>
    <row r="90" spans="2:10" ht="15.75" thickBot="1" x14ac:dyDescent="0.3">
      <c r="B90" s="28" t="s">
        <v>171</v>
      </c>
      <c r="C90" s="27" t="s">
        <v>66</v>
      </c>
      <c r="D90" s="27" t="s">
        <v>124</v>
      </c>
      <c r="E90" s="28">
        <v>0</v>
      </c>
      <c r="F90" s="28">
        <v>0</v>
      </c>
      <c r="H90" s="40">
        <v>0</v>
      </c>
      <c r="I90" s="40">
        <v>1</v>
      </c>
      <c r="J90" s="40">
        <v>1</v>
      </c>
    </row>
    <row r="91" spans="2:10" ht="15.75" thickBot="1" x14ac:dyDescent="0.3">
      <c r="C91" s="27" t="s">
        <v>66</v>
      </c>
      <c r="D91" s="27" t="s">
        <v>23</v>
      </c>
      <c r="E91" s="28">
        <v>0</v>
      </c>
      <c r="F91" s="28">
        <v>0</v>
      </c>
      <c r="H91" s="40">
        <v>1</v>
      </c>
      <c r="I91" s="40">
        <v>0</v>
      </c>
      <c r="J91" s="40">
        <v>0</v>
      </c>
    </row>
    <row r="92" spans="2:10" ht="15.75" thickBot="1" x14ac:dyDescent="0.3">
      <c r="C92" s="27" t="s">
        <v>66</v>
      </c>
      <c r="D92" s="27" t="s">
        <v>25</v>
      </c>
      <c r="E92" s="28">
        <v>0</v>
      </c>
      <c r="F92" s="28">
        <v>0</v>
      </c>
      <c r="H92" s="40">
        <v>0</v>
      </c>
      <c r="I92" s="40">
        <v>1</v>
      </c>
      <c r="J92" s="40">
        <v>0</v>
      </c>
    </row>
    <row r="93" spans="2:10" ht="15.75" thickBot="1" x14ac:dyDescent="0.3">
      <c r="C93" s="27" t="s">
        <v>66</v>
      </c>
      <c r="D93" s="27" t="s">
        <v>27</v>
      </c>
      <c r="E93" s="28">
        <v>0</v>
      </c>
      <c r="F93" s="28">
        <v>0</v>
      </c>
      <c r="H93" s="40">
        <v>0</v>
      </c>
      <c r="I93" s="40">
        <v>-1</v>
      </c>
      <c r="J93" s="40">
        <v>0</v>
      </c>
    </row>
    <row r="94" spans="2:10" ht="15.75" thickBot="1" x14ac:dyDescent="0.3">
      <c r="C94" s="27" t="s">
        <v>66</v>
      </c>
      <c r="D94" s="27" t="s">
        <v>39</v>
      </c>
      <c r="E94" s="28">
        <v>0</v>
      </c>
      <c r="F94" s="28">
        <v>0</v>
      </c>
      <c r="H94" s="40">
        <v>1</v>
      </c>
      <c r="I94" s="40">
        <v>1</v>
      </c>
      <c r="J94" s="40">
        <v>-1</v>
      </c>
    </row>
    <row r="95" spans="2:10" ht="15.75" thickBot="1" x14ac:dyDescent="0.3">
      <c r="B95" s="28" t="s">
        <v>170</v>
      </c>
      <c r="C95" s="30" t="s">
        <v>65</v>
      </c>
      <c r="D95" s="30" t="s">
        <v>124</v>
      </c>
      <c r="E95" s="28">
        <v>0</v>
      </c>
      <c r="F95" s="28">
        <v>0</v>
      </c>
      <c r="H95" s="40">
        <v>-1</v>
      </c>
      <c r="I95" s="40">
        <v>0</v>
      </c>
      <c r="J95" s="40">
        <v>1</v>
      </c>
    </row>
    <row r="96" spans="2:10" ht="15.75" thickBot="1" x14ac:dyDescent="0.3">
      <c r="C96" s="30" t="s">
        <v>65</v>
      </c>
      <c r="D96" s="30" t="s">
        <v>23</v>
      </c>
      <c r="E96" s="28">
        <v>0</v>
      </c>
      <c r="F96" s="28">
        <v>0</v>
      </c>
      <c r="H96" s="40">
        <v>1</v>
      </c>
      <c r="I96" s="40">
        <v>0</v>
      </c>
      <c r="J96" s="40">
        <v>0</v>
      </c>
    </row>
    <row r="97" spans="2:10" ht="15.75" thickBot="1" x14ac:dyDescent="0.3">
      <c r="C97" s="30" t="s">
        <v>65</v>
      </c>
      <c r="D97" s="30" t="s">
        <v>25</v>
      </c>
      <c r="E97" s="28">
        <v>0</v>
      </c>
      <c r="F97" s="28">
        <v>0</v>
      </c>
      <c r="H97" s="40">
        <v>1</v>
      </c>
      <c r="I97" s="40">
        <v>1</v>
      </c>
      <c r="J97" s="40">
        <v>1</v>
      </c>
    </row>
    <row r="98" spans="2:10" ht="15.75" thickBot="1" x14ac:dyDescent="0.3">
      <c r="C98" s="30" t="s">
        <v>65</v>
      </c>
      <c r="D98" s="30" t="s">
        <v>27</v>
      </c>
      <c r="E98" s="28">
        <v>0</v>
      </c>
      <c r="F98" s="28">
        <v>0</v>
      </c>
      <c r="H98" s="40">
        <v>1</v>
      </c>
      <c r="I98" s="40">
        <v>-1</v>
      </c>
      <c r="J98" s="40">
        <v>-1</v>
      </c>
    </row>
    <row r="99" spans="2:10" ht="15.75" thickBot="1" x14ac:dyDescent="0.3">
      <c r="B99" s="4">
        <v>2024</v>
      </c>
      <c r="C99" s="30" t="s">
        <v>65</v>
      </c>
      <c r="D99" s="30" t="s">
        <v>39</v>
      </c>
      <c r="E99" s="28">
        <v>0</v>
      </c>
      <c r="F99" s="28">
        <v>0</v>
      </c>
      <c r="H99" s="40">
        <v>0</v>
      </c>
      <c r="I99" s="40">
        <v>1</v>
      </c>
      <c r="J99" s="40">
        <v>-1</v>
      </c>
    </row>
    <row r="100" spans="2:10" ht="15.75" thickBot="1" x14ac:dyDescent="0.3">
      <c r="B100" s="28" t="s">
        <v>185</v>
      </c>
      <c r="C100" s="27" t="s">
        <v>71</v>
      </c>
      <c r="D100" s="27" t="s">
        <v>124</v>
      </c>
      <c r="E100" s="28">
        <v>0</v>
      </c>
      <c r="F100" s="28">
        <v>0</v>
      </c>
      <c r="H100" s="40">
        <v>-1</v>
      </c>
      <c r="I100" s="40">
        <v>0</v>
      </c>
      <c r="J100" s="40">
        <v>1</v>
      </c>
    </row>
    <row r="101" spans="2:10" ht="15.75" thickBot="1" x14ac:dyDescent="0.3">
      <c r="B101" s="4"/>
      <c r="C101" s="27" t="s">
        <v>71</v>
      </c>
      <c r="D101" s="27" t="s">
        <v>21</v>
      </c>
      <c r="E101" s="28">
        <v>0</v>
      </c>
      <c r="F101" s="28">
        <v>0</v>
      </c>
      <c r="H101" s="40">
        <v>-1</v>
      </c>
      <c r="I101" s="40">
        <v>1</v>
      </c>
      <c r="J101" s="40">
        <v>1</v>
      </c>
    </row>
    <row r="102" spans="2:10" ht="15.75" thickBot="1" x14ac:dyDescent="0.3">
      <c r="B102" s="4"/>
      <c r="C102" s="27" t="s">
        <v>71</v>
      </c>
      <c r="D102" s="27" t="s">
        <v>29</v>
      </c>
      <c r="E102" s="28">
        <v>0</v>
      </c>
      <c r="F102" s="28">
        <v>0</v>
      </c>
      <c r="H102" s="40">
        <v>1</v>
      </c>
      <c r="I102" s="40">
        <v>1</v>
      </c>
      <c r="J102" s="40">
        <v>1</v>
      </c>
    </row>
    <row r="103" spans="2:10" ht="15.75" thickBot="1" x14ac:dyDescent="0.3">
      <c r="B103" s="4"/>
      <c r="C103" s="27" t="s">
        <v>71</v>
      </c>
      <c r="D103" s="27" t="s">
        <v>33</v>
      </c>
      <c r="E103" s="28">
        <v>0</v>
      </c>
      <c r="F103" s="28">
        <v>0</v>
      </c>
      <c r="H103" s="40">
        <v>-1</v>
      </c>
      <c r="I103" s="40">
        <v>1</v>
      </c>
      <c r="J103" s="40">
        <v>1</v>
      </c>
    </row>
    <row r="104" spans="2:10" ht="15.75" thickBot="1" x14ac:dyDescent="0.3">
      <c r="B104" s="4"/>
      <c r="C104" s="27" t="s">
        <v>71</v>
      </c>
      <c r="D104" s="27" t="s">
        <v>37</v>
      </c>
      <c r="E104" s="28">
        <v>0</v>
      </c>
      <c r="F104" s="28">
        <v>0</v>
      </c>
      <c r="H104" s="40">
        <v>1</v>
      </c>
      <c r="I104" s="40">
        <v>1</v>
      </c>
      <c r="J104" s="40">
        <v>0</v>
      </c>
    </row>
    <row r="105" spans="2:10" ht="15.75" thickBot="1" x14ac:dyDescent="0.3">
      <c r="B105" s="28" t="s">
        <v>184</v>
      </c>
      <c r="C105" s="30" t="s">
        <v>74</v>
      </c>
      <c r="D105" s="30" t="s">
        <v>124</v>
      </c>
      <c r="E105" s="28">
        <v>0</v>
      </c>
      <c r="F105" s="28">
        <v>0</v>
      </c>
      <c r="H105" s="40">
        <v>-1</v>
      </c>
      <c r="I105" s="40">
        <v>0</v>
      </c>
      <c r="J105" s="40">
        <v>1</v>
      </c>
    </row>
    <row r="106" spans="2:10" ht="15.75" thickBot="1" x14ac:dyDescent="0.3">
      <c r="C106" s="30" t="s">
        <v>74</v>
      </c>
      <c r="D106" s="30" t="s">
        <v>21</v>
      </c>
      <c r="E106" s="28">
        <v>0</v>
      </c>
      <c r="F106" s="28">
        <v>0</v>
      </c>
      <c r="H106" s="40">
        <v>-1</v>
      </c>
      <c r="I106" s="40">
        <v>1</v>
      </c>
      <c r="J106" s="40">
        <v>1</v>
      </c>
    </row>
    <row r="107" spans="2:10" ht="15.75" thickBot="1" x14ac:dyDescent="0.3">
      <c r="C107" s="30" t="s">
        <v>74</v>
      </c>
      <c r="D107" s="30" t="s">
        <v>29</v>
      </c>
      <c r="E107" s="28">
        <v>0</v>
      </c>
      <c r="F107" s="28">
        <v>0</v>
      </c>
      <c r="H107" s="40">
        <v>1</v>
      </c>
      <c r="I107" s="40">
        <v>1</v>
      </c>
      <c r="J107" s="40">
        <v>1</v>
      </c>
    </row>
    <row r="108" spans="2:10" ht="15.75" thickBot="1" x14ac:dyDescent="0.3">
      <c r="C108" s="30" t="s">
        <v>74</v>
      </c>
      <c r="D108" s="30" t="s">
        <v>33</v>
      </c>
      <c r="E108" s="28">
        <v>0</v>
      </c>
      <c r="F108" s="28">
        <v>0</v>
      </c>
      <c r="H108" s="40">
        <v>1</v>
      </c>
      <c r="I108" s="40">
        <v>1</v>
      </c>
      <c r="J108" s="40">
        <v>0</v>
      </c>
    </row>
    <row r="109" spans="2:10" ht="15.75" thickBot="1" x14ac:dyDescent="0.3">
      <c r="C109" s="30" t="s">
        <v>74</v>
      </c>
      <c r="D109" s="30" t="s">
        <v>37</v>
      </c>
      <c r="E109" s="28">
        <v>0</v>
      </c>
      <c r="F109" s="28">
        <v>0</v>
      </c>
      <c r="H109" s="40">
        <v>1</v>
      </c>
      <c r="I109" s="40">
        <v>1</v>
      </c>
      <c r="J109" s="40">
        <v>0</v>
      </c>
    </row>
    <row r="110" spans="2:10" ht="15.75" thickBot="1" x14ac:dyDescent="0.3">
      <c r="B110" s="28" t="s">
        <v>183</v>
      </c>
      <c r="C110" s="27" t="s">
        <v>70</v>
      </c>
      <c r="D110" s="27" t="s">
        <v>124</v>
      </c>
      <c r="E110" s="28">
        <v>0</v>
      </c>
      <c r="F110" s="28">
        <v>0</v>
      </c>
      <c r="H110" s="40">
        <v>0</v>
      </c>
      <c r="I110" s="40">
        <v>0</v>
      </c>
      <c r="J110" s="40">
        <v>1</v>
      </c>
    </row>
    <row r="111" spans="2:10" ht="15.75" thickBot="1" x14ac:dyDescent="0.3">
      <c r="C111" s="27" t="s">
        <v>70</v>
      </c>
      <c r="D111" s="27" t="s">
        <v>21</v>
      </c>
      <c r="E111" s="28">
        <v>0</v>
      </c>
      <c r="F111" s="28">
        <v>0</v>
      </c>
      <c r="H111" s="40">
        <v>-1</v>
      </c>
      <c r="I111" s="40">
        <v>1</v>
      </c>
      <c r="J111" s="40">
        <v>1</v>
      </c>
    </row>
    <row r="112" spans="2:10" ht="15.75" thickBot="1" x14ac:dyDescent="0.3">
      <c r="C112" s="27" t="s">
        <v>70</v>
      </c>
      <c r="D112" s="27" t="s">
        <v>29</v>
      </c>
      <c r="E112" s="28">
        <v>0</v>
      </c>
      <c r="F112" s="28">
        <v>0</v>
      </c>
      <c r="H112" s="40">
        <v>1</v>
      </c>
      <c r="I112" s="40">
        <v>1</v>
      </c>
      <c r="J112" s="40">
        <v>1</v>
      </c>
    </row>
    <row r="113" spans="2:10" ht="15.75" thickBot="1" x14ac:dyDescent="0.3">
      <c r="C113" s="27" t="s">
        <v>70</v>
      </c>
      <c r="D113" s="27" t="s">
        <v>33</v>
      </c>
      <c r="E113" s="28">
        <v>0</v>
      </c>
      <c r="F113" s="28">
        <v>0</v>
      </c>
      <c r="H113" s="40">
        <v>1</v>
      </c>
      <c r="I113" s="40">
        <v>1</v>
      </c>
      <c r="J113" s="40">
        <v>1</v>
      </c>
    </row>
    <row r="114" spans="2:10" ht="15.75" thickBot="1" x14ac:dyDescent="0.3">
      <c r="C114" s="27" t="s">
        <v>70</v>
      </c>
      <c r="D114" s="27" t="s">
        <v>37</v>
      </c>
      <c r="E114" s="28">
        <v>0</v>
      </c>
      <c r="F114" s="28">
        <v>0</v>
      </c>
      <c r="H114" s="40">
        <v>1</v>
      </c>
      <c r="I114" s="40">
        <v>1</v>
      </c>
      <c r="J114" s="40">
        <v>0</v>
      </c>
    </row>
    <row r="115" spans="2:10" ht="15.75" thickBot="1" x14ac:dyDescent="0.3">
      <c r="B115" s="28" t="s">
        <v>182</v>
      </c>
      <c r="C115" s="30" t="s">
        <v>69</v>
      </c>
      <c r="D115" s="30" t="s">
        <v>124</v>
      </c>
      <c r="E115" s="28">
        <v>0.25</v>
      </c>
      <c r="F115" s="28">
        <v>0.25</v>
      </c>
      <c r="H115" s="40">
        <v>0</v>
      </c>
      <c r="I115" s="40">
        <v>1</v>
      </c>
      <c r="J115" s="40">
        <v>1</v>
      </c>
    </row>
    <row r="116" spans="2:10" ht="15.75" thickBot="1" x14ac:dyDescent="0.3">
      <c r="C116" s="30" t="s">
        <v>69</v>
      </c>
      <c r="D116" s="30" t="s">
        <v>21</v>
      </c>
      <c r="E116" s="28">
        <v>0.25</v>
      </c>
      <c r="F116" s="28">
        <v>0.25</v>
      </c>
      <c r="H116" s="40">
        <v>-1</v>
      </c>
      <c r="I116" s="40">
        <v>-1</v>
      </c>
      <c r="J116" s="40">
        <v>1</v>
      </c>
    </row>
    <row r="117" spans="2:10" ht="15.75" thickBot="1" x14ac:dyDescent="0.3">
      <c r="C117" s="30" t="s">
        <v>69</v>
      </c>
      <c r="D117" s="30" t="s">
        <v>29</v>
      </c>
      <c r="E117" s="28">
        <v>0.25</v>
      </c>
      <c r="F117" s="28">
        <v>0.25</v>
      </c>
      <c r="H117" s="40">
        <v>0</v>
      </c>
      <c r="I117" s="40">
        <v>1</v>
      </c>
      <c r="J117" s="40">
        <v>1</v>
      </c>
    </row>
    <row r="118" spans="2:10" ht="15.75" thickBot="1" x14ac:dyDescent="0.3">
      <c r="C118" s="30" t="s">
        <v>69</v>
      </c>
      <c r="D118" s="30" t="s">
        <v>33</v>
      </c>
      <c r="E118" s="28">
        <v>0.25</v>
      </c>
      <c r="F118" s="28">
        <v>0.25</v>
      </c>
      <c r="H118" s="40">
        <v>1</v>
      </c>
      <c r="I118" s="40">
        <v>1</v>
      </c>
      <c r="J118" s="40">
        <v>0</v>
      </c>
    </row>
    <row r="119" spans="2:10" ht="15.75" thickBot="1" x14ac:dyDescent="0.3">
      <c r="C119" s="30" t="s">
        <v>69</v>
      </c>
      <c r="D119" s="30" t="s">
        <v>37</v>
      </c>
      <c r="E119" s="28">
        <v>0.25</v>
      </c>
      <c r="F119" s="28">
        <v>0.25</v>
      </c>
      <c r="H119" s="40">
        <v>1</v>
      </c>
      <c r="I119" s="40">
        <v>1</v>
      </c>
      <c r="J119" s="40">
        <v>0</v>
      </c>
    </row>
    <row r="120" spans="2:10" ht="15.75" thickBot="1" x14ac:dyDescent="0.3">
      <c r="B120" s="28" t="s">
        <v>181</v>
      </c>
      <c r="C120" s="27" t="s">
        <v>68</v>
      </c>
      <c r="D120" s="27" t="s">
        <v>124</v>
      </c>
      <c r="E120" s="28">
        <v>0</v>
      </c>
      <c r="F120" s="28">
        <v>0</v>
      </c>
      <c r="H120" s="40">
        <v>-1</v>
      </c>
      <c r="I120" s="40">
        <v>0</v>
      </c>
      <c r="J120" s="40">
        <v>1</v>
      </c>
    </row>
    <row r="121" spans="2:10" ht="15.75" thickBot="1" x14ac:dyDescent="0.3">
      <c r="C121" s="27" t="s">
        <v>68</v>
      </c>
      <c r="D121" s="27" t="s">
        <v>21</v>
      </c>
      <c r="E121" s="28">
        <v>0</v>
      </c>
      <c r="F121" s="28">
        <v>0</v>
      </c>
      <c r="H121" s="40">
        <v>-1</v>
      </c>
      <c r="I121" s="40">
        <v>1</v>
      </c>
      <c r="J121" s="40">
        <v>1</v>
      </c>
    </row>
    <row r="122" spans="2:10" ht="15.75" thickBot="1" x14ac:dyDescent="0.3">
      <c r="C122" s="27" t="s">
        <v>68</v>
      </c>
      <c r="D122" s="27" t="s">
        <v>29</v>
      </c>
      <c r="E122" s="28">
        <v>0</v>
      </c>
      <c r="F122" s="28">
        <v>0</v>
      </c>
      <c r="H122" s="40">
        <v>0</v>
      </c>
      <c r="I122" s="40">
        <v>1</v>
      </c>
      <c r="J122" s="40">
        <v>1</v>
      </c>
    </row>
    <row r="123" spans="2:10" ht="15.75" thickBot="1" x14ac:dyDescent="0.3">
      <c r="C123" s="27" t="s">
        <v>68</v>
      </c>
      <c r="D123" s="27" t="s">
        <v>33</v>
      </c>
      <c r="E123" s="28">
        <v>0</v>
      </c>
      <c r="F123" s="28">
        <v>0</v>
      </c>
      <c r="H123" s="40">
        <v>1</v>
      </c>
      <c r="I123" s="40">
        <v>1</v>
      </c>
      <c r="J123" s="40">
        <v>1</v>
      </c>
    </row>
    <row r="124" spans="2:10" ht="15.75" thickBot="1" x14ac:dyDescent="0.3">
      <c r="C124" s="27" t="s">
        <v>68</v>
      </c>
      <c r="D124" s="27" t="s">
        <v>37</v>
      </c>
      <c r="E124" s="28">
        <v>0</v>
      </c>
      <c r="F124" s="28">
        <v>0</v>
      </c>
      <c r="H124" s="40">
        <v>1</v>
      </c>
      <c r="I124" s="40">
        <v>1</v>
      </c>
      <c r="J124" s="40">
        <v>0</v>
      </c>
    </row>
    <row r="125" spans="2:10" ht="15.75" thickBot="1" x14ac:dyDescent="0.3">
      <c r="B125" s="28" t="s">
        <v>180</v>
      </c>
      <c r="C125" s="30" t="s">
        <v>72</v>
      </c>
      <c r="D125" s="30" t="s">
        <v>124</v>
      </c>
      <c r="E125" s="28">
        <v>0.25</v>
      </c>
      <c r="F125" s="28">
        <v>0.25</v>
      </c>
      <c r="H125" s="40">
        <v>0</v>
      </c>
      <c r="I125" s="40">
        <v>1</v>
      </c>
      <c r="J125" s="40">
        <v>1</v>
      </c>
    </row>
    <row r="126" spans="2:10" ht="15.75" thickBot="1" x14ac:dyDescent="0.3">
      <c r="C126" s="30" t="s">
        <v>72</v>
      </c>
      <c r="D126" s="30" t="s">
        <v>21</v>
      </c>
      <c r="E126" s="28">
        <v>0.25</v>
      </c>
      <c r="F126" s="28">
        <v>0.25</v>
      </c>
      <c r="H126" s="40">
        <v>-1</v>
      </c>
      <c r="I126" s="40">
        <v>0</v>
      </c>
      <c r="J126" s="40">
        <v>1</v>
      </c>
    </row>
    <row r="127" spans="2:10" ht="15.75" thickBot="1" x14ac:dyDescent="0.3">
      <c r="C127" s="30" t="s">
        <v>72</v>
      </c>
      <c r="D127" s="30" t="s">
        <v>29</v>
      </c>
      <c r="E127" s="28">
        <v>0.25</v>
      </c>
      <c r="F127" s="28">
        <v>0.25</v>
      </c>
      <c r="H127" s="40">
        <v>0</v>
      </c>
      <c r="I127" s="40">
        <v>1</v>
      </c>
      <c r="J127" s="40">
        <v>1</v>
      </c>
    </row>
    <row r="128" spans="2:10" ht="15.75" thickBot="1" x14ac:dyDescent="0.3">
      <c r="C128" s="30" t="s">
        <v>72</v>
      </c>
      <c r="D128" s="30" t="s">
        <v>33</v>
      </c>
      <c r="E128" s="28">
        <v>0.25</v>
      </c>
      <c r="F128" s="28">
        <v>0.25</v>
      </c>
      <c r="H128" s="40">
        <v>1</v>
      </c>
      <c r="I128" s="40">
        <v>1</v>
      </c>
      <c r="J128" s="40">
        <v>0</v>
      </c>
    </row>
    <row r="129" spans="2:10" ht="15.75" thickBot="1" x14ac:dyDescent="0.3">
      <c r="C129" s="30" t="s">
        <v>72</v>
      </c>
      <c r="D129" s="30" t="s">
        <v>37</v>
      </c>
      <c r="E129" s="28">
        <v>0.25</v>
      </c>
      <c r="F129" s="28">
        <v>0.25</v>
      </c>
      <c r="H129" s="40">
        <v>1</v>
      </c>
      <c r="I129" s="40">
        <v>1</v>
      </c>
      <c r="J129" s="40">
        <v>1</v>
      </c>
    </row>
    <row r="130" spans="2:10" ht="15.75" thickBot="1" x14ac:dyDescent="0.3">
      <c r="B130" s="28" t="s">
        <v>179</v>
      </c>
      <c r="C130" s="27" t="s">
        <v>66</v>
      </c>
      <c r="D130" s="27" t="s">
        <v>124</v>
      </c>
      <c r="E130" s="28">
        <v>0.25</v>
      </c>
      <c r="F130" s="28">
        <v>0.25</v>
      </c>
      <c r="H130" s="40">
        <v>0</v>
      </c>
      <c r="I130" s="40">
        <v>1</v>
      </c>
      <c r="J130" s="40">
        <v>1</v>
      </c>
    </row>
    <row r="131" spans="2:10" ht="15.75" thickBot="1" x14ac:dyDescent="0.3">
      <c r="C131" s="27" t="s">
        <v>66</v>
      </c>
      <c r="D131" s="27" t="s">
        <v>21</v>
      </c>
      <c r="E131" s="28">
        <v>0.25</v>
      </c>
      <c r="F131" s="28">
        <v>0.25</v>
      </c>
      <c r="H131" s="40">
        <v>1</v>
      </c>
      <c r="I131" s="40">
        <v>1</v>
      </c>
      <c r="J131" s="40">
        <v>1</v>
      </c>
    </row>
    <row r="132" spans="2:10" ht="15.75" thickBot="1" x14ac:dyDescent="0.3">
      <c r="C132" s="27" t="s">
        <v>66</v>
      </c>
      <c r="D132" s="27" t="s">
        <v>29</v>
      </c>
      <c r="E132" s="28">
        <v>0.25</v>
      </c>
      <c r="F132" s="28">
        <v>0.25</v>
      </c>
      <c r="H132" s="40">
        <v>1</v>
      </c>
      <c r="I132" s="40">
        <v>1</v>
      </c>
      <c r="J132" s="40">
        <v>1</v>
      </c>
    </row>
    <row r="133" spans="2:10" ht="15.75" thickBot="1" x14ac:dyDescent="0.3">
      <c r="C133" s="27" t="s">
        <v>66</v>
      </c>
      <c r="D133" s="27" t="s">
        <v>33</v>
      </c>
      <c r="E133" s="28">
        <v>0.25</v>
      </c>
      <c r="F133" s="28">
        <v>0.25</v>
      </c>
      <c r="H133" s="40">
        <v>1</v>
      </c>
      <c r="I133" s="40">
        <v>1</v>
      </c>
      <c r="J133" s="40">
        <v>1</v>
      </c>
    </row>
    <row r="134" spans="2:10" ht="15.75" thickBot="1" x14ac:dyDescent="0.3">
      <c r="C134" s="27" t="s">
        <v>66</v>
      </c>
      <c r="D134" s="27" t="s">
        <v>37</v>
      </c>
      <c r="E134" s="28">
        <v>0.25</v>
      </c>
      <c r="F134" s="28">
        <v>0.25</v>
      </c>
      <c r="H134" s="40">
        <v>1</v>
      </c>
      <c r="I134" s="40">
        <v>1</v>
      </c>
      <c r="J134" s="40">
        <v>1</v>
      </c>
    </row>
    <row r="135" spans="2:10" ht="15.75" thickBot="1" x14ac:dyDescent="0.3">
      <c r="B135" s="28" t="s">
        <v>178</v>
      </c>
      <c r="C135" s="30" t="s">
        <v>80</v>
      </c>
      <c r="D135" s="30" t="s">
        <v>124</v>
      </c>
      <c r="E135" s="28">
        <v>0.25</v>
      </c>
      <c r="F135" s="28">
        <v>0.25</v>
      </c>
      <c r="H135" s="40">
        <v>-1</v>
      </c>
      <c r="I135" s="40">
        <v>1</v>
      </c>
      <c r="J135" s="40">
        <v>1</v>
      </c>
    </row>
    <row r="136" spans="2:10" ht="15.75" thickBot="1" x14ac:dyDescent="0.3">
      <c r="C136" s="30" t="s">
        <v>80</v>
      </c>
      <c r="D136" s="30" t="s">
        <v>21</v>
      </c>
      <c r="E136" s="28">
        <v>0.25</v>
      </c>
      <c r="F136" s="28">
        <v>0.25</v>
      </c>
      <c r="H136" s="40">
        <v>-1</v>
      </c>
      <c r="I136" s="40">
        <v>1</v>
      </c>
      <c r="J136" s="40">
        <v>1</v>
      </c>
    </row>
    <row r="137" spans="2:10" ht="15.75" thickBot="1" x14ac:dyDescent="0.3">
      <c r="C137" s="30" t="s">
        <v>80</v>
      </c>
      <c r="D137" s="30" t="s">
        <v>29</v>
      </c>
      <c r="E137" s="28">
        <v>0.25</v>
      </c>
      <c r="F137" s="28">
        <v>0.25</v>
      </c>
      <c r="H137" s="40">
        <v>-1</v>
      </c>
      <c r="I137" s="40">
        <v>1</v>
      </c>
      <c r="J137" s="40">
        <v>1</v>
      </c>
    </row>
    <row r="138" spans="2:10" ht="15.75" thickBot="1" x14ac:dyDescent="0.3">
      <c r="C138" s="30" t="s">
        <v>80</v>
      </c>
      <c r="D138" s="30" t="s">
        <v>33</v>
      </c>
      <c r="E138" s="28">
        <v>0.25</v>
      </c>
      <c r="F138" s="28">
        <v>0.25</v>
      </c>
      <c r="H138" s="40">
        <v>1</v>
      </c>
      <c r="I138" s="40">
        <v>1</v>
      </c>
      <c r="J138" s="40">
        <v>1</v>
      </c>
    </row>
    <row r="139" spans="2:10" ht="15.75" thickBot="1" x14ac:dyDescent="0.3">
      <c r="B139" s="4">
        <v>2023</v>
      </c>
      <c r="C139" s="30" t="s">
        <v>80</v>
      </c>
      <c r="D139" s="30" t="s">
        <v>37</v>
      </c>
      <c r="E139" s="28">
        <v>0.25</v>
      </c>
      <c r="F139" s="28">
        <v>0.25</v>
      </c>
      <c r="H139" s="40">
        <v>1</v>
      </c>
      <c r="I139" s="40">
        <v>1</v>
      </c>
      <c r="J139" s="40">
        <v>1</v>
      </c>
    </row>
    <row r="140" spans="2:10" ht="15.75" thickBot="1" x14ac:dyDescent="0.3">
      <c r="B140" s="28" t="s">
        <v>186</v>
      </c>
      <c r="C140" s="27" t="s">
        <v>71</v>
      </c>
      <c r="D140" s="27" t="s">
        <v>124</v>
      </c>
      <c r="E140" s="28">
        <v>0.5</v>
      </c>
      <c r="F140" s="28">
        <v>0.5</v>
      </c>
      <c r="H140" s="40">
        <v>-1</v>
      </c>
      <c r="I140" s="40">
        <v>0</v>
      </c>
      <c r="J140" s="40">
        <v>0</v>
      </c>
    </row>
    <row r="141" spans="2:10" ht="15.75" thickBot="1" x14ac:dyDescent="0.3">
      <c r="B141" s="4"/>
      <c r="C141" s="27" t="s">
        <v>71</v>
      </c>
      <c r="D141" s="27" t="s">
        <v>19</v>
      </c>
      <c r="E141" s="28">
        <v>0.5</v>
      </c>
      <c r="F141" s="28">
        <v>0.5</v>
      </c>
      <c r="H141" s="40">
        <v>-1</v>
      </c>
      <c r="I141" s="40">
        <v>1</v>
      </c>
      <c r="J141" s="40">
        <v>2</v>
      </c>
    </row>
    <row r="142" spans="2:10" ht="15.75" thickBot="1" x14ac:dyDescent="0.3">
      <c r="B142" s="4"/>
      <c r="C142" s="27" t="s">
        <v>71</v>
      </c>
      <c r="D142" s="27" t="s">
        <v>23</v>
      </c>
      <c r="E142" s="28">
        <v>0.5</v>
      </c>
      <c r="F142" s="28">
        <v>0.5</v>
      </c>
      <c r="H142" s="40">
        <v>-1</v>
      </c>
      <c r="I142" s="40">
        <v>1</v>
      </c>
      <c r="J142" s="40">
        <v>1</v>
      </c>
    </row>
    <row r="143" spans="2:10" ht="15.75" thickBot="1" x14ac:dyDescent="0.3">
      <c r="B143" s="4"/>
      <c r="C143" s="27" t="s">
        <v>71</v>
      </c>
      <c r="D143" s="27" t="s">
        <v>31</v>
      </c>
      <c r="E143" s="28">
        <v>0.5</v>
      </c>
      <c r="F143" s="28">
        <v>0.5</v>
      </c>
      <c r="H143" s="40">
        <v>0</v>
      </c>
      <c r="I143" s="40">
        <v>1</v>
      </c>
      <c r="J143" s="40">
        <v>0</v>
      </c>
    </row>
    <row r="144" spans="2:10" ht="15.75" thickBot="1" x14ac:dyDescent="0.3">
      <c r="B144" s="4"/>
      <c r="C144" s="27" t="s">
        <v>71</v>
      </c>
      <c r="D144" s="27" t="s">
        <v>35</v>
      </c>
      <c r="E144" s="28">
        <v>0.5</v>
      </c>
      <c r="F144" s="28">
        <v>0.5</v>
      </c>
      <c r="H144" s="40">
        <v>-1</v>
      </c>
      <c r="I144" s="40">
        <v>-1</v>
      </c>
      <c r="J144" s="40">
        <v>2</v>
      </c>
    </row>
    <row r="145" spans="2:10" ht="15.75" thickBot="1" x14ac:dyDescent="0.3">
      <c r="B145" s="28" t="s">
        <v>187</v>
      </c>
      <c r="C145" s="30" t="s">
        <v>73</v>
      </c>
      <c r="D145" s="30" t="s">
        <v>124</v>
      </c>
      <c r="E145" s="28">
        <v>0.75</v>
      </c>
      <c r="F145" s="28">
        <v>0.75</v>
      </c>
      <c r="H145" s="40">
        <v>1</v>
      </c>
      <c r="I145" s="40">
        <v>1</v>
      </c>
      <c r="J145" s="40">
        <v>0</v>
      </c>
    </row>
    <row r="146" spans="2:10" ht="15.75" thickBot="1" x14ac:dyDescent="0.3">
      <c r="C146" s="30" t="s">
        <v>73</v>
      </c>
      <c r="D146" s="30" t="s">
        <v>19</v>
      </c>
      <c r="E146" s="28">
        <v>0.75</v>
      </c>
      <c r="F146" s="28">
        <v>0.75</v>
      </c>
      <c r="H146" s="40">
        <v>-1</v>
      </c>
      <c r="I146" s="40">
        <v>1</v>
      </c>
      <c r="J146" s="40">
        <v>2</v>
      </c>
    </row>
    <row r="147" spans="2:10" ht="15.75" thickBot="1" x14ac:dyDescent="0.3">
      <c r="C147" s="30" t="s">
        <v>73</v>
      </c>
      <c r="D147" s="30" t="s">
        <v>23</v>
      </c>
      <c r="E147" s="28">
        <v>0.75</v>
      </c>
      <c r="F147" s="28">
        <v>0.75</v>
      </c>
      <c r="H147" s="40">
        <v>0</v>
      </c>
      <c r="I147" s="40">
        <v>1</v>
      </c>
      <c r="J147" s="40">
        <v>1</v>
      </c>
    </row>
    <row r="148" spans="2:10" ht="15.75" thickBot="1" x14ac:dyDescent="0.3">
      <c r="C148" s="30" t="s">
        <v>73</v>
      </c>
      <c r="D148" s="30" t="s">
        <v>31</v>
      </c>
      <c r="E148" s="28">
        <v>0.75</v>
      </c>
      <c r="F148" s="28">
        <v>0.75</v>
      </c>
      <c r="H148" s="40">
        <v>-1</v>
      </c>
      <c r="I148" s="40">
        <v>-1</v>
      </c>
      <c r="J148" s="40">
        <v>1</v>
      </c>
    </row>
    <row r="149" spans="2:10" ht="15.75" thickBot="1" x14ac:dyDescent="0.3">
      <c r="C149" s="30" t="s">
        <v>73</v>
      </c>
      <c r="D149" s="30" t="s">
        <v>35</v>
      </c>
      <c r="E149" s="28">
        <v>0.75</v>
      </c>
      <c r="F149" s="28">
        <v>0.75</v>
      </c>
      <c r="H149" s="40">
        <v>1</v>
      </c>
      <c r="I149" s="40">
        <v>1</v>
      </c>
      <c r="J149" s="40">
        <v>2</v>
      </c>
    </row>
    <row r="150" spans="2:10" ht="15.75" thickBot="1" x14ac:dyDescent="0.3">
      <c r="B150" s="28" t="s">
        <v>188</v>
      </c>
      <c r="C150" s="27" t="s">
        <v>70</v>
      </c>
      <c r="D150" s="27" t="s">
        <v>124</v>
      </c>
      <c r="E150" s="28">
        <v>0.75</v>
      </c>
      <c r="F150" s="28">
        <v>0.75</v>
      </c>
      <c r="H150" s="40">
        <v>1</v>
      </c>
      <c r="I150" s="40">
        <v>1</v>
      </c>
      <c r="J150" s="40">
        <v>1</v>
      </c>
    </row>
    <row r="151" spans="2:10" ht="15.75" thickBot="1" x14ac:dyDescent="0.3">
      <c r="C151" s="27" t="s">
        <v>70</v>
      </c>
      <c r="D151" s="27" t="s">
        <v>19</v>
      </c>
      <c r="E151" s="28">
        <v>0.75</v>
      </c>
      <c r="F151" s="28">
        <v>0.75</v>
      </c>
      <c r="H151" s="40">
        <v>-1</v>
      </c>
      <c r="I151" s="40">
        <v>1</v>
      </c>
      <c r="J151" s="40">
        <v>2</v>
      </c>
    </row>
    <row r="152" spans="2:10" ht="15.75" thickBot="1" x14ac:dyDescent="0.3">
      <c r="C152" s="27" t="s">
        <v>70</v>
      </c>
      <c r="D152" s="27" t="s">
        <v>23</v>
      </c>
      <c r="E152" s="28">
        <v>0.75</v>
      </c>
      <c r="F152" s="28">
        <v>0.75</v>
      </c>
      <c r="H152" s="40">
        <v>0</v>
      </c>
      <c r="I152" s="40">
        <v>1</v>
      </c>
      <c r="J152" s="40">
        <v>1</v>
      </c>
    </row>
    <row r="153" spans="2:10" ht="15.75" thickBot="1" x14ac:dyDescent="0.3">
      <c r="C153" s="27" t="s">
        <v>70</v>
      </c>
      <c r="D153" s="27" t="s">
        <v>31</v>
      </c>
      <c r="E153" s="28">
        <v>0.75</v>
      </c>
      <c r="F153" s="28">
        <v>0.75</v>
      </c>
      <c r="H153" s="40">
        <v>-1</v>
      </c>
      <c r="I153" s="40">
        <v>0</v>
      </c>
      <c r="J153" s="40">
        <v>1</v>
      </c>
    </row>
    <row r="154" spans="2:10" ht="15.75" thickBot="1" x14ac:dyDescent="0.3">
      <c r="C154" s="27" t="s">
        <v>70</v>
      </c>
      <c r="D154" s="27" t="s">
        <v>35</v>
      </c>
      <c r="E154" s="28">
        <v>0.75</v>
      </c>
      <c r="F154" s="28">
        <v>0.75</v>
      </c>
      <c r="H154" s="40">
        <v>1</v>
      </c>
      <c r="I154" s="40">
        <v>1</v>
      </c>
      <c r="J154" s="40">
        <v>2</v>
      </c>
    </row>
    <row r="155" spans="2:10" ht="15.75" thickBot="1" x14ac:dyDescent="0.3">
      <c r="B155" s="28" t="s">
        <v>189</v>
      </c>
      <c r="C155" s="30" t="s">
        <v>69</v>
      </c>
      <c r="D155" s="30" t="s">
        <v>124</v>
      </c>
      <c r="E155" s="28">
        <v>0.75</v>
      </c>
      <c r="F155" s="28">
        <v>0.75</v>
      </c>
      <c r="H155" s="40">
        <v>1</v>
      </c>
      <c r="I155" s="40">
        <v>0</v>
      </c>
      <c r="J155" s="40">
        <v>2</v>
      </c>
    </row>
    <row r="156" spans="2:10" ht="15.75" thickBot="1" x14ac:dyDescent="0.3">
      <c r="C156" s="30" t="s">
        <v>69</v>
      </c>
      <c r="D156" s="30" t="s">
        <v>19</v>
      </c>
      <c r="E156" s="28">
        <v>0.75</v>
      </c>
      <c r="F156" s="28">
        <v>0.75</v>
      </c>
      <c r="H156" s="40">
        <v>0</v>
      </c>
      <c r="I156" s="40">
        <v>0</v>
      </c>
      <c r="J156" s="40">
        <v>2</v>
      </c>
    </row>
    <row r="157" spans="2:10" ht="15.75" thickBot="1" x14ac:dyDescent="0.3">
      <c r="C157" s="30" t="s">
        <v>69</v>
      </c>
      <c r="D157" s="30" t="s">
        <v>23</v>
      </c>
      <c r="E157" s="28">
        <v>0.75</v>
      </c>
      <c r="F157" s="28">
        <v>0.75</v>
      </c>
      <c r="H157" s="40">
        <v>-1</v>
      </c>
      <c r="I157" s="40">
        <v>1</v>
      </c>
      <c r="J157" s="40">
        <v>2</v>
      </c>
    </row>
    <row r="158" spans="2:10" ht="15.75" thickBot="1" x14ac:dyDescent="0.3">
      <c r="C158" s="30" t="s">
        <v>69</v>
      </c>
      <c r="D158" s="30" t="s">
        <v>31</v>
      </c>
      <c r="E158" s="28">
        <v>0.75</v>
      </c>
      <c r="F158" s="28">
        <v>0.75</v>
      </c>
      <c r="H158" s="40">
        <v>1</v>
      </c>
      <c r="I158" s="40">
        <v>1</v>
      </c>
      <c r="J158" s="40">
        <v>1</v>
      </c>
    </row>
    <row r="159" spans="2:10" ht="15.75" thickBot="1" x14ac:dyDescent="0.3">
      <c r="C159" s="30" t="s">
        <v>69</v>
      </c>
      <c r="D159" s="30" t="s">
        <v>35</v>
      </c>
      <c r="E159" s="28">
        <v>0.75</v>
      </c>
      <c r="F159" s="28">
        <v>0.75</v>
      </c>
      <c r="H159" s="40">
        <v>1</v>
      </c>
      <c r="I159" s="40">
        <v>2</v>
      </c>
      <c r="J159" s="40">
        <v>0</v>
      </c>
    </row>
    <row r="160" spans="2:10" ht="15.75" thickBot="1" x14ac:dyDescent="0.3">
      <c r="B160" s="28" t="s">
        <v>190</v>
      </c>
      <c r="C160" s="27" t="s">
        <v>68</v>
      </c>
      <c r="D160" s="27" t="s">
        <v>124</v>
      </c>
      <c r="E160" s="28">
        <v>0.75</v>
      </c>
      <c r="F160" s="28">
        <v>0.75</v>
      </c>
      <c r="H160" s="40">
        <v>1</v>
      </c>
      <c r="I160" s="40">
        <v>1</v>
      </c>
      <c r="J160" s="40">
        <v>2</v>
      </c>
    </row>
    <row r="161" spans="2:10" ht="15.75" thickBot="1" x14ac:dyDescent="0.3">
      <c r="C161" s="27" t="s">
        <v>68</v>
      </c>
      <c r="D161" s="27" t="s">
        <v>21</v>
      </c>
      <c r="E161" s="28">
        <v>0.75</v>
      </c>
      <c r="F161" s="28">
        <v>0.75</v>
      </c>
      <c r="H161" s="40">
        <v>1</v>
      </c>
      <c r="I161" s="40">
        <v>1</v>
      </c>
      <c r="J161" s="40">
        <v>2</v>
      </c>
    </row>
    <row r="162" spans="2:10" ht="15.75" thickBot="1" x14ac:dyDescent="0.3">
      <c r="C162" s="27" t="s">
        <v>68</v>
      </c>
      <c r="D162" s="27" t="s">
        <v>23</v>
      </c>
      <c r="E162" s="28">
        <v>0.75</v>
      </c>
      <c r="F162" s="28">
        <v>0.75</v>
      </c>
      <c r="H162" s="40">
        <v>1</v>
      </c>
      <c r="I162" s="40">
        <v>1</v>
      </c>
      <c r="J162" s="40">
        <v>2</v>
      </c>
    </row>
    <row r="163" spans="2:10" ht="15.75" thickBot="1" x14ac:dyDescent="0.3">
      <c r="C163" s="27" t="s">
        <v>68</v>
      </c>
      <c r="D163" s="27" t="s">
        <v>31</v>
      </c>
      <c r="E163" s="28">
        <v>0.75</v>
      </c>
      <c r="F163" s="28">
        <v>0.75</v>
      </c>
      <c r="H163" s="40">
        <v>1</v>
      </c>
      <c r="I163" s="40">
        <v>0</v>
      </c>
      <c r="J163" s="40">
        <v>2</v>
      </c>
    </row>
    <row r="164" spans="2:10" ht="15.75" thickBot="1" x14ac:dyDescent="0.3">
      <c r="C164" s="27" t="s">
        <v>68</v>
      </c>
      <c r="D164" s="27" t="s">
        <v>35</v>
      </c>
      <c r="E164" s="28">
        <v>0.5</v>
      </c>
      <c r="F164" s="28">
        <v>0.75</v>
      </c>
      <c r="H164" s="40">
        <v>1</v>
      </c>
      <c r="I164" s="40">
        <v>1</v>
      </c>
      <c r="J164" s="40">
        <v>2</v>
      </c>
    </row>
    <row r="165" spans="2:10" ht="15.75" thickBot="1" x14ac:dyDescent="0.3">
      <c r="B165" s="28" t="s">
        <v>191</v>
      </c>
      <c r="C165" s="30" t="s">
        <v>72</v>
      </c>
      <c r="D165" s="30" t="s">
        <v>124</v>
      </c>
      <c r="E165" s="28">
        <v>0</v>
      </c>
      <c r="F165" s="28">
        <v>0</v>
      </c>
      <c r="H165" s="40">
        <v>1</v>
      </c>
      <c r="I165" s="40">
        <v>1</v>
      </c>
      <c r="J165" s="40">
        <v>2</v>
      </c>
    </row>
    <row r="166" spans="2:10" ht="15.75" thickBot="1" x14ac:dyDescent="0.3">
      <c r="C166" s="30" t="s">
        <v>72</v>
      </c>
      <c r="D166" s="30" t="s">
        <v>21</v>
      </c>
      <c r="E166" s="28">
        <v>0</v>
      </c>
      <c r="F166" s="28">
        <v>0</v>
      </c>
      <c r="H166" s="40">
        <v>1</v>
      </c>
      <c r="I166" s="40">
        <v>1</v>
      </c>
      <c r="J166" s="40">
        <v>2</v>
      </c>
    </row>
    <row r="167" spans="2:10" ht="15.75" thickBot="1" x14ac:dyDescent="0.3">
      <c r="C167" s="30" t="s">
        <v>72</v>
      </c>
      <c r="D167" s="30" t="s">
        <v>23</v>
      </c>
      <c r="E167" s="28">
        <v>0</v>
      </c>
      <c r="F167" s="28">
        <v>0</v>
      </c>
      <c r="H167" s="40">
        <v>1</v>
      </c>
      <c r="I167" s="40">
        <v>0</v>
      </c>
      <c r="J167" s="40">
        <v>2</v>
      </c>
    </row>
    <row r="168" spans="2:10" ht="15.75" thickBot="1" x14ac:dyDescent="0.3">
      <c r="C168" s="30" t="s">
        <v>72</v>
      </c>
      <c r="D168" s="30" t="s">
        <v>31</v>
      </c>
      <c r="E168" s="28">
        <v>0</v>
      </c>
      <c r="F168" s="28">
        <v>0</v>
      </c>
      <c r="H168" s="40">
        <v>1</v>
      </c>
      <c r="I168" s="40">
        <v>1</v>
      </c>
      <c r="J168" s="40">
        <v>2</v>
      </c>
    </row>
    <row r="169" spans="2:10" ht="15.75" thickBot="1" x14ac:dyDescent="0.3">
      <c r="C169" s="30" t="s">
        <v>72</v>
      </c>
      <c r="D169" s="30" t="s">
        <v>35</v>
      </c>
      <c r="E169" s="28">
        <v>0</v>
      </c>
      <c r="F169" s="28">
        <v>0</v>
      </c>
      <c r="H169" s="40">
        <v>2</v>
      </c>
      <c r="I169" s="40">
        <v>2</v>
      </c>
      <c r="J169" s="40">
        <v>2</v>
      </c>
    </row>
    <row r="170" spans="2:10" ht="15.75" thickBot="1" x14ac:dyDescent="0.3">
      <c r="B170" s="28" t="s">
        <v>192</v>
      </c>
      <c r="C170" s="27" t="s">
        <v>66</v>
      </c>
      <c r="D170" s="27" t="s">
        <v>124</v>
      </c>
      <c r="E170" s="28">
        <v>0.25</v>
      </c>
      <c r="F170" s="28">
        <v>0.25</v>
      </c>
      <c r="H170" s="40">
        <v>0</v>
      </c>
      <c r="I170" s="40">
        <v>0</v>
      </c>
      <c r="J170" s="40">
        <v>2</v>
      </c>
    </row>
    <row r="171" spans="2:10" ht="15.75" thickBot="1" x14ac:dyDescent="0.3">
      <c r="C171" s="27" t="s">
        <v>66</v>
      </c>
      <c r="D171" s="27" t="s">
        <v>21</v>
      </c>
      <c r="E171" s="28">
        <v>0.25</v>
      </c>
      <c r="F171" s="28">
        <v>0.25</v>
      </c>
      <c r="H171" s="40">
        <v>1</v>
      </c>
      <c r="I171" s="40">
        <v>1</v>
      </c>
      <c r="J171" s="40">
        <v>2</v>
      </c>
    </row>
    <row r="172" spans="2:10" ht="15.75" thickBot="1" x14ac:dyDescent="0.3">
      <c r="C172" s="27" t="s">
        <v>66</v>
      </c>
      <c r="D172" s="27" t="s">
        <v>23</v>
      </c>
      <c r="E172" s="28">
        <v>0.25</v>
      </c>
      <c r="F172" s="28">
        <v>0.25</v>
      </c>
      <c r="H172" s="40">
        <v>1</v>
      </c>
      <c r="I172" s="40">
        <v>1</v>
      </c>
      <c r="J172" s="40">
        <v>2</v>
      </c>
    </row>
    <row r="173" spans="2:10" ht="15.75" thickBot="1" x14ac:dyDescent="0.3">
      <c r="C173" s="27" t="s">
        <v>66</v>
      </c>
      <c r="D173" s="27" t="s">
        <v>31</v>
      </c>
      <c r="E173" s="28">
        <v>0.5</v>
      </c>
      <c r="F173" s="28">
        <v>0.25</v>
      </c>
      <c r="H173" s="40">
        <v>0</v>
      </c>
      <c r="I173" s="40">
        <v>2</v>
      </c>
      <c r="J173" s="40">
        <v>2</v>
      </c>
    </row>
    <row r="174" spans="2:10" ht="15.75" thickBot="1" x14ac:dyDescent="0.3">
      <c r="C174" s="27" t="s">
        <v>66</v>
      </c>
      <c r="D174" s="27" t="s">
        <v>35</v>
      </c>
      <c r="E174" s="28">
        <v>0.25</v>
      </c>
      <c r="F174" s="28">
        <v>0.25</v>
      </c>
      <c r="H174" s="40">
        <v>1</v>
      </c>
      <c r="I174" s="40">
        <v>1</v>
      </c>
      <c r="J174" s="40">
        <v>2</v>
      </c>
    </row>
    <row r="175" spans="2:10" ht="15.75" thickBot="1" x14ac:dyDescent="0.3">
      <c r="B175" s="28" t="s">
        <v>193</v>
      </c>
      <c r="C175" s="30" t="s">
        <v>65</v>
      </c>
      <c r="D175" s="30" t="s">
        <v>124</v>
      </c>
      <c r="E175" s="28">
        <v>0</v>
      </c>
      <c r="F175" s="28">
        <v>0</v>
      </c>
      <c r="H175" s="40">
        <v>1</v>
      </c>
      <c r="I175" s="40">
        <v>1</v>
      </c>
      <c r="J175" s="40">
        <v>2</v>
      </c>
    </row>
    <row r="176" spans="2:10" ht="15.75" thickBot="1" x14ac:dyDescent="0.3">
      <c r="B176" s="28" t="s">
        <v>128</v>
      </c>
      <c r="C176" s="30" t="s">
        <v>65</v>
      </c>
      <c r="D176" s="30" t="s">
        <v>21</v>
      </c>
      <c r="E176" s="28">
        <v>0</v>
      </c>
      <c r="F176" s="28">
        <v>0</v>
      </c>
      <c r="H176" s="40">
        <v>1</v>
      </c>
      <c r="I176" s="40">
        <v>1</v>
      </c>
      <c r="J176" s="40">
        <v>2</v>
      </c>
    </row>
    <row r="177" spans="2:10" ht="15.75" thickBot="1" x14ac:dyDescent="0.3">
      <c r="C177" s="30" t="s">
        <v>65</v>
      </c>
      <c r="D177" s="30" t="s">
        <v>23</v>
      </c>
      <c r="E177" s="28">
        <v>0</v>
      </c>
      <c r="F177" s="28">
        <v>0</v>
      </c>
      <c r="H177" s="40">
        <v>1</v>
      </c>
      <c r="I177" s="40">
        <v>1</v>
      </c>
      <c r="J177" s="40">
        <v>1</v>
      </c>
    </row>
    <row r="178" spans="2:10" ht="15.75" thickBot="1" x14ac:dyDescent="0.3">
      <c r="C178" s="30" t="s">
        <v>65</v>
      </c>
      <c r="D178" s="30" t="s">
        <v>31</v>
      </c>
      <c r="E178" s="28">
        <v>0</v>
      </c>
      <c r="F178" s="28">
        <v>0</v>
      </c>
      <c r="H178" s="40">
        <v>1</v>
      </c>
      <c r="I178" s="40">
        <v>2</v>
      </c>
      <c r="J178" s="40">
        <v>2</v>
      </c>
    </row>
    <row r="179" spans="2:10" ht="15.75" thickBot="1" x14ac:dyDescent="0.3">
      <c r="B179" s="4">
        <v>2022</v>
      </c>
      <c r="C179" s="30" t="s">
        <v>65</v>
      </c>
      <c r="D179" s="30" t="s">
        <v>35</v>
      </c>
      <c r="E179" s="28">
        <v>0</v>
      </c>
      <c r="F179" s="28">
        <v>0</v>
      </c>
      <c r="H179" s="40">
        <v>1</v>
      </c>
      <c r="I179" s="40">
        <v>1</v>
      </c>
      <c r="J179" s="40">
        <v>2</v>
      </c>
    </row>
    <row r="180" spans="2:10" ht="15.75" thickBot="1" x14ac:dyDescent="0.3">
      <c r="C180" s="27" t="s">
        <v>71</v>
      </c>
      <c r="D180" s="27" t="s">
        <v>124</v>
      </c>
      <c r="E180" s="28">
        <v>0</v>
      </c>
      <c r="F180" s="28">
        <v>0</v>
      </c>
    </row>
    <row r="181" spans="2:10" ht="15.75" thickBot="1" x14ac:dyDescent="0.3">
      <c r="B181" s="4"/>
      <c r="C181" s="27" t="s">
        <v>71</v>
      </c>
      <c r="D181" s="27" t="s">
        <v>25</v>
      </c>
      <c r="E181" s="28">
        <v>0</v>
      </c>
      <c r="F181" s="28">
        <v>0</v>
      </c>
    </row>
    <row r="182" spans="2:10" ht="15.75" thickBot="1" x14ac:dyDescent="0.3">
      <c r="B182" s="4"/>
      <c r="C182" s="27" t="s">
        <v>71</v>
      </c>
      <c r="D182" s="27" t="s">
        <v>27</v>
      </c>
      <c r="E182" s="28">
        <v>0</v>
      </c>
      <c r="F182" s="28">
        <v>0</v>
      </c>
    </row>
    <row r="183" spans="2:10" ht="15.75" thickBot="1" x14ac:dyDescent="0.3">
      <c r="B183" s="4"/>
      <c r="C183" s="27" t="s">
        <v>71</v>
      </c>
      <c r="D183" s="27" t="s">
        <v>29</v>
      </c>
      <c r="E183" s="28">
        <v>0</v>
      </c>
      <c r="F183" s="28">
        <v>0</v>
      </c>
    </row>
    <row r="184" spans="2:10" ht="15.75" thickBot="1" x14ac:dyDescent="0.3">
      <c r="B184" s="4"/>
      <c r="C184" s="27" t="s">
        <v>71</v>
      </c>
      <c r="D184" s="27" t="s">
        <v>39</v>
      </c>
      <c r="E184" s="28">
        <v>0</v>
      </c>
      <c r="F184" s="28">
        <v>0</v>
      </c>
    </row>
    <row r="185" spans="2:10" ht="15.75" thickBot="1" x14ac:dyDescent="0.3">
      <c r="B185" s="4"/>
      <c r="C185" s="30" t="s">
        <v>73</v>
      </c>
      <c r="D185" s="30" t="s">
        <v>124</v>
      </c>
      <c r="E185" s="28">
        <v>0</v>
      </c>
      <c r="F185" s="28">
        <v>0</v>
      </c>
    </row>
    <row r="186" spans="2:10" ht="15.75" thickBot="1" x14ac:dyDescent="0.3">
      <c r="B186" s="4"/>
      <c r="C186" s="30" t="s">
        <v>73</v>
      </c>
      <c r="D186" s="30" t="s">
        <v>25</v>
      </c>
      <c r="E186" s="28">
        <v>0</v>
      </c>
      <c r="F186" s="28">
        <v>0</v>
      </c>
    </row>
    <row r="187" spans="2:10" ht="15.75" thickBot="1" x14ac:dyDescent="0.3">
      <c r="B187" s="4"/>
      <c r="C187" s="30" t="s">
        <v>73</v>
      </c>
      <c r="D187" s="30" t="s">
        <v>27</v>
      </c>
      <c r="E187" s="28">
        <v>0</v>
      </c>
      <c r="F187" s="28">
        <v>0</v>
      </c>
    </row>
    <row r="188" spans="2:10" ht="15.75" thickBot="1" x14ac:dyDescent="0.3">
      <c r="B188" s="4"/>
      <c r="C188" s="30" t="s">
        <v>73</v>
      </c>
      <c r="D188" s="30" t="s">
        <v>29</v>
      </c>
      <c r="E188" s="28">
        <v>0</v>
      </c>
      <c r="F188" s="28">
        <v>0</v>
      </c>
    </row>
    <row r="189" spans="2:10" ht="15.75" thickBot="1" x14ac:dyDescent="0.3">
      <c r="B189" s="4"/>
      <c r="C189" s="30" t="s">
        <v>73</v>
      </c>
      <c r="D189" s="30" t="s">
        <v>39</v>
      </c>
      <c r="E189" s="28">
        <v>0</v>
      </c>
      <c r="F189" s="28">
        <v>0</v>
      </c>
    </row>
    <row r="190" spans="2:10" ht="15.75" thickBot="1" x14ac:dyDescent="0.3">
      <c r="B190" s="4"/>
      <c r="C190" s="27" t="s">
        <v>70</v>
      </c>
      <c r="D190" s="27" t="s">
        <v>124</v>
      </c>
      <c r="E190" s="28">
        <v>0</v>
      </c>
      <c r="F190" s="28">
        <v>0</v>
      </c>
    </row>
    <row r="191" spans="2:10" ht="15.75" thickBot="1" x14ac:dyDescent="0.3">
      <c r="B191" s="4"/>
      <c r="C191" s="27" t="s">
        <v>70</v>
      </c>
      <c r="D191" s="27" t="s">
        <v>25</v>
      </c>
      <c r="E191" s="28">
        <v>0</v>
      </c>
      <c r="F191" s="28">
        <v>0</v>
      </c>
    </row>
    <row r="192" spans="2:10" ht="15.75" thickBot="1" x14ac:dyDescent="0.3">
      <c r="B192" s="4"/>
      <c r="C192" s="27" t="s">
        <v>70</v>
      </c>
      <c r="D192" s="27" t="s">
        <v>27</v>
      </c>
      <c r="E192" s="28">
        <v>0</v>
      </c>
      <c r="F192" s="28">
        <v>0</v>
      </c>
    </row>
    <row r="193" spans="2:6" ht="15.75" thickBot="1" x14ac:dyDescent="0.3">
      <c r="B193" s="4"/>
      <c r="C193" s="27" t="s">
        <v>70</v>
      </c>
      <c r="D193" s="27" t="s">
        <v>29</v>
      </c>
      <c r="E193" s="28">
        <v>0</v>
      </c>
      <c r="F193" s="28">
        <v>0</v>
      </c>
    </row>
    <row r="194" spans="2:6" ht="15.75" thickBot="1" x14ac:dyDescent="0.3">
      <c r="B194" s="4"/>
      <c r="C194" s="27" t="s">
        <v>70</v>
      </c>
      <c r="D194" s="27" t="s">
        <v>39</v>
      </c>
      <c r="E194" s="28">
        <v>0</v>
      </c>
      <c r="F194" s="28">
        <v>0</v>
      </c>
    </row>
    <row r="195" spans="2:6" ht="15.75" thickBot="1" x14ac:dyDescent="0.3">
      <c r="B195" s="4"/>
      <c r="C195" s="30" t="s">
        <v>69</v>
      </c>
      <c r="D195" s="30" t="s">
        <v>124</v>
      </c>
      <c r="E195" s="28">
        <v>0</v>
      </c>
      <c r="F195" s="28">
        <v>0</v>
      </c>
    </row>
    <row r="196" spans="2:6" ht="15.75" thickBot="1" x14ac:dyDescent="0.3">
      <c r="B196" s="4"/>
      <c r="C196" s="30" t="s">
        <v>69</v>
      </c>
      <c r="D196" s="30" t="s">
        <v>25</v>
      </c>
      <c r="E196" s="28">
        <v>0</v>
      </c>
      <c r="F196" s="28">
        <v>0</v>
      </c>
    </row>
    <row r="197" spans="2:6" ht="15.75" thickBot="1" x14ac:dyDescent="0.3">
      <c r="B197" s="4"/>
      <c r="C197" s="30" t="s">
        <v>69</v>
      </c>
      <c r="D197" s="30" t="s">
        <v>27</v>
      </c>
      <c r="E197" s="28">
        <v>0</v>
      </c>
      <c r="F197" s="28">
        <v>0</v>
      </c>
    </row>
    <row r="198" spans="2:6" ht="15.75" thickBot="1" x14ac:dyDescent="0.3">
      <c r="B198" s="4"/>
      <c r="C198" s="30" t="s">
        <v>69</v>
      </c>
      <c r="D198" s="30" t="s">
        <v>29</v>
      </c>
      <c r="E198" s="28">
        <v>0</v>
      </c>
      <c r="F198" s="28">
        <v>0</v>
      </c>
    </row>
    <row r="199" spans="2:6" ht="15.75" thickBot="1" x14ac:dyDescent="0.3">
      <c r="B199" s="4"/>
      <c r="C199" s="30" t="s">
        <v>69</v>
      </c>
      <c r="D199" s="30" t="s">
        <v>39</v>
      </c>
      <c r="E199" s="28">
        <v>0</v>
      </c>
      <c r="F199" s="28">
        <v>0</v>
      </c>
    </row>
    <row r="200" spans="2:6" ht="15.75" thickBot="1" x14ac:dyDescent="0.3">
      <c r="B200" s="4"/>
      <c r="C200" s="27" t="s">
        <v>68</v>
      </c>
      <c r="D200" s="27" t="s">
        <v>124</v>
      </c>
      <c r="E200" s="28">
        <v>0</v>
      </c>
      <c r="F200" s="28">
        <v>0</v>
      </c>
    </row>
    <row r="201" spans="2:6" ht="15.75" thickBot="1" x14ac:dyDescent="0.3">
      <c r="B201" s="4"/>
      <c r="C201" s="27" t="s">
        <v>68</v>
      </c>
      <c r="D201" s="27" t="s">
        <v>25</v>
      </c>
      <c r="E201" s="28">
        <v>0</v>
      </c>
      <c r="F201" s="28">
        <v>0</v>
      </c>
    </row>
    <row r="202" spans="2:6" ht="15.75" thickBot="1" x14ac:dyDescent="0.3">
      <c r="B202" s="4"/>
      <c r="C202" s="27" t="s">
        <v>68</v>
      </c>
      <c r="D202" s="27" t="s">
        <v>27</v>
      </c>
      <c r="E202" s="28">
        <v>0</v>
      </c>
      <c r="F202" s="28">
        <v>0</v>
      </c>
    </row>
    <row r="203" spans="2:6" ht="15.75" thickBot="1" x14ac:dyDescent="0.3">
      <c r="B203" s="4"/>
      <c r="C203" s="27" t="s">
        <v>68</v>
      </c>
      <c r="D203" s="27" t="s">
        <v>29</v>
      </c>
      <c r="E203" s="28">
        <v>0</v>
      </c>
      <c r="F203" s="28">
        <v>0</v>
      </c>
    </row>
    <row r="204" spans="2:6" ht="15.75" thickBot="1" x14ac:dyDescent="0.3">
      <c r="B204" s="4"/>
      <c r="C204" s="27" t="s">
        <v>68</v>
      </c>
      <c r="D204" s="27" t="s">
        <v>39</v>
      </c>
      <c r="E204" s="28">
        <v>0</v>
      </c>
      <c r="F204" s="28">
        <v>0</v>
      </c>
    </row>
    <row r="205" spans="2:6" ht="15.75" thickBot="1" x14ac:dyDescent="0.3">
      <c r="B205" s="4"/>
      <c r="C205" s="30" t="s">
        <v>67</v>
      </c>
      <c r="D205" s="30" t="s">
        <v>124</v>
      </c>
      <c r="E205" s="28">
        <v>0</v>
      </c>
      <c r="F205" s="28">
        <v>0</v>
      </c>
    </row>
    <row r="206" spans="2:6" ht="15.75" thickBot="1" x14ac:dyDescent="0.3">
      <c r="B206" s="4"/>
      <c r="C206" s="30" t="s">
        <v>67</v>
      </c>
      <c r="D206" s="30" t="s">
        <v>25</v>
      </c>
      <c r="E206" s="28">
        <v>0</v>
      </c>
      <c r="F206" s="28">
        <v>0</v>
      </c>
    </row>
    <row r="207" spans="2:6" ht="15.75" thickBot="1" x14ac:dyDescent="0.3">
      <c r="B207" s="4"/>
      <c r="C207" s="30" t="s">
        <v>67</v>
      </c>
      <c r="D207" s="30" t="s">
        <v>27</v>
      </c>
      <c r="E207" s="28">
        <v>0</v>
      </c>
      <c r="F207" s="28">
        <v>0</v>
      </c>
    </row>
    <row r="208" spans="2:6" ht="15.75" thickBot="1" x14ac:dyDescent="0.3">
      <c r="B208" s="4"/>
      <c r="C208" s="30" t="s">
        <v>67</v>
      </c>
      <c r="D208" s="30" t="s">
        <v>29</v>
      </c>
      <c r="E208" s="28">
        <v>0</v>
      </c>
      <c r="F208" s="28">
        <v>0</v>
      </c>
    </row>
    <row r="209" spans="2:6" ht="15.75" thickBot="1" x14ac:dyDescent="0.3">
      <c r="B209" s="4"/>
      <c r="C209" s="30" t="s">
        <v>67</v>
      </c>
      <c r="D209" s="30" t="s">
        <v>39</v>
      </c>
      <c r="E209" s="28">
        <v>0</v>
      </c>
      <c r="F209" s="28">
        <v>0</v>
      </c>
    </row>
    <row r="210" spans="2:6" ht="15.75" thickBot="1" x14ac:dyDescent="0.3">
      <c r="B210" s="4"/>
      <c r="C210" s="27" t="s">
        <v>66</v>
      </c>
      <c r="D210" s="27" t="s">
        <v>124</v>
      </c>
      <c r="E210" s="28">
        <v>0</v>
      </c>
      <c r="F210" s="28">
        <v>0</v>
      </c>
    </row>
    <row r="211" spans="2:6" ht="15.75" thickBot="1" x14ac:dyDescent="0.3">
      <c r="B211" s="4"/>
      <c r="C211" s="27" t="s">
        <v>66</v>
      </c>
      <c r="D211" s="27" t="s">
        <v>25</v>
      </c>
      <c r="E211" s="28">
        <v>0</v>
      </c>
      <c r="F211" s="28">
        <v>0</v>
      </c>
    </row>
    <row r="212" spans="2:6" ht="15.75" thickBot="1" x14ac:dyDescent="0.3">
      <c r="B212" s="4"/>
      <c r="C212" s="27" t="s">
        <v>66</v>
      </c>
      <c r="D212" s="27" t="s">
        <v>27</v>
      </c>
      <c r="E212" s="28">
        <v>0</v>
      </c>
      <c r="F212" s="28">
        <v>0</v>
      </c>
    </row>
    <row r="213" spans="2:6" ht="15.75" thickBot="1" x14ac:dyDescent="0.3">
      <c r="B213" s="4"/>
      <c r="C213" s="27" t="s">
        <v>66</v>
      </c>
      <c r="D213" s="27" t="s">
        <v>29</v>
      </c>
      <c r="E213" s="28">
        <v>0</v>
      </c>
      <c r="F213" s="28">
        <v>0</v>
      </c>
    </row>
    <row r="214" spans="2:6" ht="15.75" thickBot="1" x14ac:dyDescent="0.3">
      <c r="B214" s="4"/>
      <c r="C214" s="27" t="s">
        <v>66</v>
      </c>
      <c r="D214" s="27" t="s">
        <v>39</v>
      </c>
      <c r="E214" s="28">
        <v>0</v>
      </c>
      <c r="F214" s="28">
        <v>0</v>
      </c>
    </row>
    <row r="215" spans="2:6" ht="15.75" thickBot="1" x14ac:dyDescent="0.3">
      <c r="B215" s="4"/>
      <c r="C215" s="30" t="s">
        <v>65</v>
      </c>
      <c r="D215" s="30" t="s">
        <v>124</v>
      </c>
      <c r="E215" s="28">
        <v>0</v>
      </c>
      <c r="F215" s="28">
        <v>0</v>
      </c>
    </row>
    <row r="216" spans="2:6" ht="15.75" thickBot="1" x14ac:dyDescent="0.3">
      <c r="B216" s="4"/>
      <c r="C216" s="30" t="s">
        <v>65</v>
      </c>
      <c r="D216" s="30" t="s">
        <v>25</v>
      </c>
      <c r="E216" s="28">
        <v>0</v>
      </c>
      <c r="F216" s="28">
        <v>0</v>
      </c>
    </row>
    <row r="217" spans="2:6" ht="15.75" thickBot="1" x14ac:dyDescent="0.3">
      <c r="B217" s="4"/>
      <c r="C217" s="30" t="s">
        <v>65</v>
      </c>
      <c r="D217" s="30" t="s">
        <v>27</v>
      </c>
      <c r="E217" s="28">
        <v>0</v>
      </c>
      <c r="F217" s="28">
        <v>0</v>
      </c>
    </row>
    <row r="218" spans="2:6" ht="15.75" thickBot="1" x14ac:dyDescent="0.3">
      <c r="B218" s="4"/>
      <c r="C218" s="30" t="s">
        <v>65</v>
      </c>
      <c r="D218" s="30" t="s">
        <v>29</v>
      </c>
      <c r="E218" s="28">
        <v>0</v>
      </c>
      <c r="F218" s="28">
        <v>0</v>
      </c>
    </row>
    <row r="219" spans="2:6" ht="15.75" thickBot="1" x14ac:dyDescent="0.3">
      <c r="B219" s="4">
        <v>2021</v>
      </c>
      <c r="C219" s="30" t="s">
        <v>65</v>
      </c>
      <c r="D219" s="30" t="s">
        <v>39</v>
      </c>
      <c r="E219" s="28">
        <v>0</v>
      </c>
      <c r="F219" s="28">
        <v>0</v>
      </c>
    </row>
  </sheetData>
  <hyperlinks>
    <hyperlink ref="D4" r:id="rId1" display="Regional Member" xr:uid="{3E9261A0-0F22-4009-90E3-D45CF545236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6234-D3EE-4258-BDF8-EFDFFE12017A}">
  <sheetPr>
    <tabColor theme="8" tint="0.79998168889431442"/>
  </sheetPr>
  <dimension ref="B2:J219"/>
  <sheetViews>
    <sheetView showGridLines="0" workbookViewId="0">
      <selection activeCell="M5" sqref="M5"/>
    </sheetView>
  </sheetViews>
  <sheetFormatPr defaultRowHeight="15" x14ac:dyDescent="0.25"/>
  <cols>
    <col min="3" max="3" width="10" style="29" bestFit="1" customWidth="1"/>
    <col min="4" max="4" width="16.85546875" style="29" bestFit="1" customWidth="1"/>
    <col min="5" max="5" width="19" bestFit="1" customWidth="1"/>
    <col min="6" max="6" width="16.7109375" bestFit="1" customWidth="1"/>
    <col min="7" max="7" width="9.140625" style="28"/>
    <col min="8" max="8" width="16.7109375" bestFit="1" customWidth="1"/>
    <col min="9" max="9" width="12.28515625" bestFit="1" customWidth="1"/>
    <col min="10" max="10" width="6.28515625" bestFit="1" customWidth="1"/>
  </cols>
  <sheetData>
    <row r="2" spans="2:10" x14ac:dyDescent="0.25">
      <c r="C2" s="42" t="s">
        <v>194</v>
      </c>
      <c r="D2" s="42"/>
    </row>
    <row r="3" spans="2:10" x14ac:dyDescent="0.25">
      <c r="H3" s="4" t="s">
        <v>125</v>
      </c>
    </row>
    <row r="4" spans="2:10" ht="15.75" thickBot="1" x14ac:dyDescent="0.3">
      <c r="C4" s="29" t="s">
        <v>75</v>
      </c>
      <c r="D4" s="31" t="s">
        <v>123</v>
      </c>
      <c r="E4" t="s">
        <v>130</v>
      </c>
      <c r="F4" t="s">
        <v>129</v>
      </c>
      <c r="H4" s="32" t="s">
        <v>127</v>
      </c>
      <c r="I4" s="32" t="s">
        <v>158</v>
      </c>
      <c r="J4" s="32" t="s">
        <v>126</v>
      </c>
    </row>
    <row r="5" spans="2:10" ht="15.75" thickBot="1" x14ac:dyDescent="0.3">
      <c r="B5" t="s">
        <v>159</v>
      </c>
      <c r="C5" s="30" t="s">
        <v>67</v>
      </c>
      <c r="D5" s="30" t="s">
        <v>124</v>
      </c>
      <c r="E5" s="28">
        <v>0</v>
      </c>
      <c r="F5" s="28">
        <v>0</v>
      </c>
      <c r="H5">
        <v>-1</v>
      </c>
      <c r="I5">
        <v>-1</v>
      </c>
      <c r="J5">
        <v>1</v>
      </c>
    </row>
    <row r="6" spans="2:10" ht="15.75" thickBot="1" x14ac:dyDescent="0.3">
      <c r="C6" s="30" t="s">
        <v>67</v>
      </c>
      <c r="D6" s="30" t="s">
        <v>21</v>
      </c>
      <c r="E6" s="28">
        <v>0</v>
      </c>
      <c r="F6" s="28">
        <v>0</v>
      </c>
      <c r="H6">
        <v>1</v>
      </c>
      <c r="I6">
        <v>1</v>
      </c>
      <c r="J6">
        <v>1</v>
      </c>
    </row>
    <row r="7" spans="2:10" s="28" customFormat="1" ht="15.75" thickBot="1" x14ac:dyDescent="0.3">
      <c r="C7" s="30" t="s">
        <v>67</v>
      </c>
      <c r="D7" s="30" t="s">
        <v>23</v>
      </c>
      <c r="E7" s="28">
        <v>0</v>
      </c>
      <c r="F7" s="28">
        <v>0</v>
      </c>
      <c r="H7" s="28">
        <v>1</v>
      </c>
      <c r="I7" s="39" t="s">
        <v>160</v>
      </c>
      <c r="J7" s="39">
        <v>1</v>
      </c>
    </row>
    <row r="8" spans="2:10" s="28" customFormat="1" ht="15.75" thickBot="1" x14ac:dyDescent="0.3">
      <c r="C8" s="30" t="s">
        <v>67</v>
      </c>
      <c r="D8" s="30" t="s">
        <v>33</v>
      </c>
      <c r="E8" s="28">
        <v>0</v>
      </c>
      <c r="F8" s="28">
        <v>0</v>
      </c>
      <c r="H8" s="28">
        <v>0</v>
      </c>
      <c r="I8" s="39">
        <v>-1</v>
      </c>
      <c r="J8" s="39">
        <v>1</v>
      </c>
    </row>
    <row r="9" spans="2:10" s="28" customFormat="1" ht="15.75" thickBot="1" x14ac:dyDescent="0.3">
      <c r="C9" s="30" t="s">
        <v>67</v>
      </c>
      <c r="D9" s="30" t="s">
        <v>37</v>
      </c>
      <c r="E9" s="28">
        <v>0</v>
      </c>
      <c r="F9" s="28">
        <v>0</v>
      </c>
      <c r="H9" s="28">
        <v>0</v>
      </c>
      <c r="I9" s="39">
        <v>0</v>
      </c>
      <c r="J9" s="39">
        <v>1</v>
      </c>
    </row>
    <row r="10" spans="2:10" s="28" customFormat="1" ht="15.75" thickBot="1" x14ac:dyDescent="0.3">
      <c r="B10" s="28" t="s">
        <v>161</v>
      </c>
      <c r="C10" s="27" t="s">
        <v>66</v>
      </c>
      <c r="D10" s="27" t="s">
        <v>124</v>
      </c>
      <c r="E10" s="28">
        <v>0</v>
      </c>
      <c r="F10" s="28">
        <v>0</v>
      </c>
      <c r="H10" s="28">
        <v>-1</v>
      </c>
      <c r="I10" s="39">
        <v>0</v>
      </c>
      <c r="J10" s="39">
        <v>1</v>
      </c>
    </row>
    <row r="11" spans="2:10" ht="15.75" thickBot="1" x14ac:dyDescent="0.3">
      <c r="C11" s="27" t="s">
        <v>66</v>
      </c>
      <c r="D11" s="27" t="s">
        <v>21</v>
      </c>
      <c r="E11" s="28">
        <v>0</v>
      </c>
      <c r="F11" s="28">
        <v>0</v>
      </c>
      <c r="H11">
        <v>1</v>
      </c>
      <c r="I11">
        <v>1</v>
      </c>
      <c r="J11">
        <v>1</v>
      </c>
    </row>
    <row r="12" spans="2:10" s="28" customFormat="1" ht="15.75" thickBot="1" x14ac:dyDescent="0.3">
      <c r="C12" s="27" t="s">
        <v>66</v>
      </c>
      <c r="D12" s="27" t="s">
        <v>23</v>
      </c>
      <c r="E12" s="28">
        <v>0</v>
      </c>
      <c r="F12" s="28">
        <v>0</v>
      </c>
      <c r="H12" s="28">
        <v>1</v>
      </c>
      <c r="I12" s="28" t="s">
        <v>160</v>
      </c>
      <c r="J12" s="39">
        <v>1</v>
      </c>
    </row>
    <row r="13" spans="2:10" s="28" customFormat="1" ht="15.75" thickBot="1" x14ac:dyDescent="0.3">
      <c r="C13" s="27" t="s">
        <v>66</v>
      </c>
      <c r="D13" s="27" t="s">
        <v>33</v>
      </c>
      <c r="E13" s="28">
        <v>0</v>
      </c>
      <c r="F13" s="28">
        <v>0</v>
      </c>
      <c r="H13" s="32">
        <v>-1</v>
      </c>
      <c r="I13" s="41">
        <v>-1</v>
      </c>
      <c r="J13" s="41">
        <v>1</v>
      </c>
    </row>
    <row r="14" spans="2:10" s="28" customFormat="1" ht="15.75" thickBot="1" x14ac:dyDescent="0.3">
      <c r="C14" s="27" t="s">
        <v>66</v>
      </c>
      <c r="D14" s="27" t="s">
        <v>37</v>
      </c>
      <c r="E14" s="28">
        <v>0</v>
      </c>
      <c r="F14" s="28">
        <v>0</v>
      </c>
      <c r="H14" s="32">
        <v>1</v>
      </c>
      <c r="I14" s="41">
        <v>1</v>
      </c>
      <c r="J14" s="41">
        <v>2</v>
      </c>
    </row>
    <row r="15" spans="2:10" s="28" customFormat="1" ht="15.75" thickBot="1" x14ac:dyDescent="0.3">
      <c r="C15" s="30" t="s">
        <v>65</v>
      </c>
      <c r="D15" s="30" t="s">
        <v>124</v>
      </c>
      <c r="E15" s="28">
        <v>0</v>
      </c>
      <c r="F15" s="28">
        <v>0</v>
      </c>
      <c r="H15" s="32">
        <v>-1</v>
      </c>
      <c r="I15" s="41">
        <v>0</v>
      </c>
      <c r="J15" s="41">
        <v>1</v>
      </c>
    </row>
    <row r="16" spans="2:10" s="28" customFormat="1" ht="15.75" thickBot="1" x14ac:dyDescent="0.3">
      <c r="C16" s="30" t="s">
        <v>65</v>
      </c>
      <c r="D16" s="30" t="s">
        <v>21</v>
      </c>
      <c r="E16" s="28">
        <v>0</v>
      </c>
      <c r="F16" s="28">
        <v>0</v>
      </c>
      <c r="H16" s="32">
        <v>1</v>
      </c>
      <c r="I16" s="41">
        <v>-1</v>
      </c>
      <c r="J16" s="41">
        <v>1</v>
      </c>
    </row>
    <row r="17" spans="2:10" s="28" customFormat="1" ht="15.75" thickBot="1" x14ac:dyDescent="0.3">
      <c r="C17" s="30" t="s">
        <v>65</v>
      </c>
      <c r="D17" s="30" t="s">
        <v>23</v>
      </c>
      <c r="E17" s="28">
        <v>0</v>
      </c>
      <c r="F17" s="28">
        <v>0</v>
      </c>
      <c r="H17" s="32">
        <v>1</v>
      </c>
      <c r="I17" s="41">
        <v>1</v>
      </c>
      <c r="J17" s="41">
        <v>1</v>
      </c>
    </row>
    <row r="18" spans="2:10" s="28" customFormat="1" ht="15.75" thickBot="1" x14ac:dyDescent="0.3">
      <c r="C18" s="30" t="s">
        <v>65</v>
      </c>
      <c r="D18" s="30" t="s">
        <v>33</v>
      </c>
      <c r="E18" s="28">
        <v>0</v>
      </c>
      <c r="F18" s="28">
        <v>0</v>
      </c>
      <c r="H18" s="32">
        <v>1</v>
      </c>
      <c r="I18" s="41">
        <v>1</v>
      </c>
      <c r="J18" s="41">
        <v>1</v>
      </c>
    </row>
    <row r="19" spans="2:10" s="28" customFormat="1" ht="15.75" thickBot="1" x14ac:dyDescent="0.3">
      <c r="B19" s="4">
        <v>2026</v>
      </c>
      <c r="C19" s="30" t="s">
        <v>65</v>
      </c>
      <c r="D19" s="30" t="s">
        <v>37</v>
      </c>
      <c r="E19" s="28">
        <v>0</v>
      </c>
      <c r="F19" s="28">
        <v>0</v>
      </c>
      <c r="H19" s="32">
        <v>1</v>
      </c>
      <c r="I19" s="32">
        <v>1</v>
      </c>
      <c r="J19" s="32">
        <v>2</v>
      </c>
    </row>
    <row r="20" spans="2:10" ht="15.75" thickBot="1" x14ac:dyDescent="0.3">
      <c r="B20" t="s">
        <v>169</v>
      </c>
      <c r="C20" s="27" t="s">
        <v>71</v>
      </c>
      <c r="D20" s="27" t="s">
        <v>124</v>
      </c>
      <c r="E20" s="28">
        <v>-0.25</v>
      </c>
      <c r="F20" s="28">
        <v>-0.25</v>
      </c>
      <c r="H20" s="32">
        <v>-1</v>
      </c>
      <c r="I20" s="32">
        <v>-1</v>
      </c>
      <c r="J20" s="32">
        <v>1</v>
      </c>
    </row>
    <row r="21" spans="2:10" s="28" customFormat="1" ht="15.75" thickBot="1" x14ac:dyDescent="0.3">
      <c r="B21" s="4"/>
      <c r="C21" s="27" t="s">
        <v>71</v>
      </c>
      <c r="D21" s="27" t="s">
        <v>19</v>
      </c>
      <c r="E21" s="28">
        <v>-0.25</v>
      </c>
      <c r="F21" s="28">
        <v>-0.25</v>
      </c>
      <c r="H21" s="32">
        <v>1</v>
      </c>
      <c r="I21" s="32">
        <v>-1</v>
      </c>
      <c r="J21" s="32">
        <v>1</v>
      </c>
    </row>
    <row r="22" spans="2:10" s="28" customFormat="1" ht="15.75" thickBot="1" x14ac:dyDescent="0.3">
      <c r="B22" s="4"/>
      <c r="C22" s="27" t="s">
        <v>71</v>
      </c>
      <c r="D22" s="27" t="s">
        <v>29</v>
      </c>
      <c r="E22" s="28">
        <v>0</v>
      </c>
      <c r="F22" s="28">
        <v>-0.25</v>
      </c>
      <c r="H22" s="32">
        <v>1</v>
      </c>
      <c r="I22" s="32">
        <v>1</v>
      </c>
      <c r="J22" s="32">
        <v>1</v>
      </c>
    </row>
    <row r="23" spans="2:10" s="28" customFormat="1" ht="15.75" thickBot="1" x14ac:dyDescent="0.3">
      <c r="B23" s="4"/>
      <c r="C23" s="27" t="s">
        <v>71</v>
      </c>
      <c r="D23" s="27" t="s">
        <v>31</v>
      </c>
      <c r="E23" s="28">
        <v>-0.25</v>
      </c>
      <c r="F23" s="28">
        <v>-0.25</v>
      </c>
      <c r="H23" s="32">
        <v>0</v>
      </c>
      <c r="I23" s="32">
        <v>0</v>
      </c>
      <c r="J23" s="32">
        <v>1</v>
      </c>
    </row>
    <row r="24" spans="2:10" s="28" customFormat="1" ht="15.75" thickBot="1" x14ac:dyDescent="0.3">
      <c r="B24" s="4"/>
      <c r="C24" s="27" t="s">
        <v>71</v>
      </c>
      <c r="D24" s="27" t="s">
        <v>35</v>
      </c>
      <c r="E24" s="28">
        <v>0</v>
      </c>
      <c r="F24" s="28">
        <v>-0.25</v>
      </c>
      <c r="H24" s="32">
        <v>-1</v>
      </c>
      <c r="I24" s="32">
        <v>0</v>
      </c>
      <c r="J24" s="32">
        <v>1</v>
      </c>
    </row>
    <row r="25" spans="2:10" ht="15.75" thickBot="1" x14ac:dyDescent="0.3">
      <c r="B25" t="s">
        <v>168</v>
      </c>
      <c r="C25" s="30" t="s">
        <v>74</v>
      </c>
      <c r="D25" s="30" t="s">
        <v>124</v>
      </c>
      <c r="E25" s="28">
        <v>-0.25</v>
      </c>
      <c r="F25" s="28">
        <v>-0.25</v>
      </c>
      <c r="H25" s="32">
        <v>-1</v>
      </c>
      <c r="I25" s="32">
        <v>0</v>
      </c>
      <c r="J25" s="32">
        <v>1</v>
      </c>
    </row>
    <row r="26" spans="2:10" s="28" customFormat="1" ht="15.75" thickBot="1" x14ac:dyDescent="0.3">
      <c r="C26" s="30" t="s">
        <v>74</v>
      </c>
      <c r="D26" s="30" t="s">
        <v>19</v>
      </c>
      <c r="E26" s="28">
        <v>-0.25</v>
      </c>
      <c r="F26" s="28">
        <v>-0.25</v>
      </c>
      <c r="H26" s="32">
        <v>1</v>
      </c>
      <c r="I26" s="32">
        <v>0</v>
      </c>
      <c r="J26" s="32">
        <v>1</v>
      </c>
    </row>
    <row r="27" spans="2:10" s="28" customFormat="1" ht="15.75" thickBot="1" x14ac:dyDescent="0.3">
      <c r="C27" s="30" t="s">
        <v>74</v>
      </c>
      <c r="D27" s="30" t="s">
        <v>29</v>
      </c>
      <c r="E27" s="28">
        <v>-0.25</v>
      </c>
      <c r="F27" s="28">
        <v>-0.25</v>
      </c>
      <c r="H27" s="32">
        <v>0</v>
      </c>
      <c r="I27" s="32">
        <v>0</v>
      </c>
      <c r="J27" s="32">
        <v>1</v>
      </c>
    </row>
    <row r="28" spans="2:10" s="28" customFormat="1" ht="15.75" thickBot="1" x14ac:dyDescent="0.3">
      <c r="C28" s="30" t="s">
        <v>74</v>
      </c>
      <c r="D28" s="30" t="s">
        <v>31</v>
      </c>
      <c r="E28" s="28">
        <v>-0.25</v>
      </c>
      <c r="F28" s="28">
        <v>-0.25</v>
      </c>
      <c r="H28" s="32">
        <v>0</v>
      </c>
      <c r="I28" s="32">
        <v>0</v>
      </c>
      <c r="J28" s="32">
        <v>1</v>
      </c>
    </row>
    <row r="29" spans="2:10" s="28" customFormat="1" ht="15.75" thickBot="1" x14ac:dyDescent="0.3">
      <c r="C29" s="30" t="s">
        <v>74</v>
      </c>
      <c r="D29" s="30" t="s">
        <v>35</v>
      </c>
      <c r="E29" s="28">
        <v>0</v>
      </c>
      <c r="F29" s="28">
        <v>-0.25</v>
      </c>
      <c r="H29" s="32">
        <v>-1</v>
      </c>
      <c r="I29" s="32">
        <v>-1</v>
      </c>
      <c r="J29" s="32" t="s">
        <v>160</v>
      </c>
    </row>
    <row r="30" spans="2:10" ht="15.75" thickBot="1" x14ac:dyDescent="0.3">
      <c r="B30" t="s">
        <v>167</v>
      </c>
      <c r="C30" s="27" t="s">
        <v>70</v>
      </c>
      <c r="D30" s="27" t="s">
        <v>124</v>
      </c>
      <c r="E30" s="28">
        <v>-0.25</v>
      </c>
      <c r="F30" s="28">
        <v>-0.25</v>
      </c>
      <c r="H30" s="32">
        <v>-1</v>
      </c>
      <c r="I30" s="32">
        <v>0</v>
      </c>
      <c r="J30" s="32">
        <v>1</v>
      </c>
    </row>
    <row r="31" spans="2:10" s="28" customFormat="1" ht="15.75" thickBot="1" x14ac:dyDescent="0.3">
      <c r="C31" s="27" t="s">
        <v>70</v>
      </c>
      <c r="D31" s="27" t="s">
        <v>19</v>
      </c>
      <c r="E31" s="28">
        <v>-0.25</v>
      </c>
      <c r="F31" s="28">
        <v>-0.25</v>
      </c>
      <c r="H31" s="32">
        <v>1</v>
      </c>
      <c r="I31" s="32">
        <v>-1</v>
      </c>
      <c r="J31" s="32">
        <v>1</v>
      </c>
    </row>
    <row r="32" spans="2:10" s="28" customFormat="1" ht="15.75" thickBot="1" x14ac:dyDescent="0.3">
      <c r="C32" s="27" t="s">
        <v>70</v>
      </c>
      <c r="D32" s="27" t="s">
        <v>29</v>
      </c>
      <c r="E32" s="28">
        <v>-0.25</v>
      </c>
      <c r="F32" s="28">
        <v>-0.25</v>
      </c>
      <c r="H32" s="32">
        <v>1</v>
      </c>
      <c r="I32" s="32">
        <v>1</v>
      </c>
      <c r="J32" s="32">
        <v>1</v>
      </c>
    </row>
    <row r="33" spans="2:10" s="28" customFormat="1" ht="15.75" thickBot="1" x14ac:dyDescent="0.3">
      <c r="C33" s="27" t="s">
        <v>70</v>
      </c>
      <c r="D33" s="27" t="s">
        <v>31</v>
      </c>
      <c r="E33" s="28">
        <v>-0.25</v>
      </c>
      <c r="F33" s="28">
        <v>-0.25</v>
      </c>
      <c r="H33" s="32">
        <v>0</v>
      </c>
      <c r="I33" s="32">
        <v>0</v>
      </c>
      <c r="J33" s="32">
        <v>1</v>
      </c>
    </row>
    <row r="34" spans="2:10" s="28" customFormat="1" ht="15.75" thickBot="1" x14ac:dyDescent="0.3">
      <c r="C34" s="27" t="s">
        <v>70</v>
      </c>
      <c r="D34" s="27" t="s">
        <v>35</v>
      </c>
      <c r="E34" s="28">
        <v>-0.25</v>
      </c>
      <c r="F34" s="28">
        <v>-0.25</v>
      </c>
      <c r="H34" s="32">
        <v>0</v>
      </c>
      <c r="I34" s="32">
        <v>-1</v>
      </c>
      <c r="J34" s="32">
        <v>1</v>
      </c>
    </row>
    <row r="35" spans="2:10" ht="15.75" thickBot="1" x14ac:dyDescent="0.3">
      <c r="B35" t="s">
        <v>166</v>
      </c>
      <c r="C35" s="30" t="s">
        <v>69</v>
      </c>
      <c r="D35" s="30" t="s">
        <v>124</v>
      </c>
      <c r="E35">
        <v>0</v>
      </c>
      <c r="F35" s="28">
        <v>0</v>
      </c>
      <c r="H35" s="32">
        <v>-1</v>
      </c>
      <c r="I35" s="32">
        <v>1</v>
      </c>
      <c r="J35" s="32">
        <v>1</v>
      </c>
    </row>
    <row r="36" spans="2:10" s="28" customFormat="1" ht="15.75" thickBot="1" x14ac:dyDescent="0.3">
      <c r="C36" s="30" t="s">
        <v>69</v>
      </c>
      <c r="D36" s="30" t="s">
        <v>19</v>
      </c>
      <c r="E36" s="28">
        <v>0</v>
      </c>
      <c r="F36" s="28">
        <v>0</v>
      </c>
      <c r="H36" s="32">
        <v>0</v>
      </c>
      <c r="I36" s="32" t="s">
        <v>160</v>
      </c>
      <c r="J36" s="32">
        <v>1</v>
      </c>
    </row>
    <row r="37" spans="2:10" s="28" customFormat="1" ht="15.75" thickBot="1" x14ac:dyDescent="0.3">
      <c r="C37" s="30" t="s">
        <v>69</v>
      </c>
      <c r="D37" s="30" t="s">
        <v>29</v>
      </c>
      <c r="E37" s="28">
        <v>0</v>
      </c>
      <c r="F37" s="28">
        <v>0</v>
      </c>
      <c r="H37" s="32">
        <v>1</v>
      </c>
      <c r="I37" s="32">
        <v>1</v>
      </c>
      <c r="J37" s="32">
        <v>1</v>
      </c>
    </row>
    <row r="38" spans="2:10" s="28" customFormat="1" ht="15.75" thickBot="1" x14ac:dyDescent="0.3">
      <c r="C38" s="30" t="s">
        <v>69</v>
      </c>
      <c r="D38" s="30" t="s">
        <v>31</v>
      </c>
      <c r="E38" s="28">
        <v>0</v>
      </c>
      <c r="F38" s="28">
        <v>0</v>
      </c>
      <c r="H38" s="32">
        <v>0</v>
      </c>
      <c r="I38" s="32">
        <v>0</v>
      </c>
      <c r="J38" s="32">
        <v>1</v>
      </c>
    </row>
    <row r="39" spans="2:10" s="28" customFormat="1" ht="15.75" thickBot="1" x14ac:dyDescent="0.3">
      <c r="C39" s="30" t="s">
        <v>69</v>
      </c>
      <c r="D39" s="30" t="s">
        <v>35</v>
      </c>
      <c r="E39" s="28">
        <v>0</v>
      </c>
      <c r="F39" s="28">
        <v>0</v>
      </c>
      <c r="H39" s="32">
        <v>0</v>
      </c>
      <c r="I39" s="32" t="s">
        <v>160</v>
      </c>
      <c r="J39" s="32">
        <v>1</v>
      </c>
    </row>
    <row r="40" spans="2:10" ht="15.75" thickBot="1" x14ac:dyDescent="0.3">
      <c r="B40" t="s">
        <v>165</v>
      </c>
      <c r="C40" s="27" t="s">
        <v>68</v>
      </c>
      <c r="D40" s="27" t="s">
        <v>124</v>
      </c>
      <c r="E40" s="28">
        <v>0</v>
      </c>
      <c r="F40" s="28">
        <v>0</v>
      </c>
      <c r="H40" s="32">
        <v>-1</v>
      </c>
      <c r="I40" s="32">
        <v>0</v>
      </c>
      <c r="J40" s="32">
        <v>1</v>
      </c>
    </row>
    <row r="41" spans="2:10" s="28" customFormat="1" ht="15.75" thickBot="1" x14ac:dyDescent="0.3">
      <c r="C41" s="27" t="s">
        <v>68</v>
      </c>
      <c r="D41" s="27" t="s">
        <v>19</v>
      </c>
      <c r="E41" s="28">
        <v>0</v>
      </c>
      <c r="F41" s="28">
        <v>0</v>
      </c>
      <c r="H41" s="32">
        <v>-1</v>
      </c>
      <c r="I41" s="32">
        <v>-1</v>
      </c>
      <c r="J41" s="32">
        <v>1</v>
      </c>
    </row>
    <row r="42" spans="2:10" s="28" customFormat="1" ht="15.75" thickBot="1" x14ac:dyDescent="0.3">
      <c r="C42" s="27" t="s">
        <v>68</v>
      </c>
      <c r="D42" s="27" t="s">
        <v>29</v>
      </c>
      <c r="E42" s="28">
        <v>0</v>
      </c>
      <c r="F42" s="28">
        <v>0</v>
      </c>
      <c r="H42" s="32">
        <v>1</v>
      </c>
      <c r="I42" s="32">
        <v>1</v>
      </c>
      <c r="J42" s="32">
        <v>1</v>
      </c>
    </row>
    <row r="43" spans="2:10" s="28" customFormat="1" ht="15.75" thickBot="1" x14ac:dyDescent="0.3">
      <c r="C43" s="27" t="s">
        <v>68</v>
      </c>
      <c r="D43" s="27" t="s">
        <v>31</v>
      </c>
      <c r="E43" s="28">
        <v>0</v>
      </c>
      <c r="F43" s="28">
        <v>0</v>
      </c>
      <c r="H43" s="32">
        <v>0</v>
      </c>
      <c r="I43" s="32">
        <v>0</v>
      </c>
      <c r="J43" s="32" t="s">
        <v>160</v>
      </c>
    </row>
    <row r="44" spans="2:10" s="28" customFormat="1" ht="15.75" thickBot="1" x14ac:dyDescent="0.3">
      <c r="C44" s="27" t="s">
        <v>68</v>
      </c>
      <c r="D44" s="27" t="s">
        <v>35</v>
      </c>
      <c r="E44" s="28">
        <v>0</v>
      </c>
      <c r="F44" s="28">
        <v>0</v>
      </c>
      <c r="H44" s="32">
        <v>-1</v>
      </c>
      <c r="I44" s="32">
        <v>0</v>
      </c>
      <c r="J44" s="32" t="s">
        <v>160</v>
      </c>
    </row>
    <row r="45" spans="2:10" ht="15.75" thickBot="1" x14ac:dyDescent="0.3">
      <c r="B45" t="s">
        <v>164</v>
      </c>
      <c r="C45" s="30" t="s">
        <v>72</v>
      </c>
      <c r="D45" s="30" t="s">
        <v>124</v>
      </c>
      <c r="E45" s="28">
        <v>0</v>
      </c>
      <c r="F45" s="28">
        <v>0</v>
      </c>
      <c r="H45" s="32">
        <v>-1</v>
      </c>
      <c r="I45" s="32">
        <v>1</v>
      </c>
      <c r="J45" s="32">
        <v>1</v>
      </c>
    </row>
    <row r="46" spans="2:10" s="28" customFormat="1" ht="15.75" thickBot="1" x14ac:dyDescent="0.3">
      <c r="C46" s="30" t="s">
        <v>72</v>
      </c>
      <c r="D46" s="30" t="s">
        <v>19</v>
      </c>
      <c r="E46" s="28">
        <v>0</v>
      </c>
      <c r="F46" s="28">
        <v>0</v>
      </c>
      <c r="H46" s="32">
        <v>1</v>
      </c>
      <c r="I46" s="32">
        <v>1</v>
      </c>
      <c r="J46" s="32">
        <v>1</v>
      </c>
    </row>
    <row r="47" spans="2:10" s="28" customFormat="1" ht="15.75" thickBot="1" x14ac:dyDescent="0.3">
      <c r="C47" s="30" t="s">
        <v>72</v>
      </c>
      <c r="D47" s="30" t="s">
        <v>29</v>
      </c>
      <c r="E47" s="28">
        <v>0</v>
      </c>
      <c r="F47" s="28">
        <v>0</v>
      </c>
      <c r="H47" s="32">
        <v>0</v>
      </c>
      <c r="I47" s="32">
        <v>1</v>
      </c>
      <c r="J47" s="32">
        <v>1</v>
      </c>
    </row>
    <row r="48" spans="2:10" s="28" customFormat="1" ht="15.75" thickBot="1" x14ac:dyDescent="0.3">
      <c r="C48" s="30" t="s">
        <v>72</v>
      </c>
      <c r="D48" s="30" t="s">
        <v>31</v>
      </c>
      <c r="E48" s="28">
        <v>0</v>
      </c>
      <c r="F48" s="28">
        <v>0</v>
      </c>
      <c r="H48" s="32">
        <v>0</v>
      </c>
      <c r="I48" s="32" t="s">
        <v>160</v>
      </c>
      <c r="J48" s="32" t="s">
        <v>160</v>
      </c>
    </row>
    <row r="49" spans="2:10" s="28" customFormat="1" ht="15.75" thickBot="1" x14ac:dyDescent="0.3">
      <c r="C49" s="30" t="s">
        <v>72</v>
      </c>
      <c r="D49" s="30" t="s">
        <v>35</v>
      </c>
      <c r="E49" s="28">
        <v>0</v>
      </c>
      <c r="F49" s="28">
        <v>0</v>
      </c>
      <c r="H49" s="32">
        <v>1</v>
      </c>
      <c r="I49" s="32">
        <v>0</v>
      </c>
      <c r="J49" s="32" t="s">
        <v>160</v>
      </c>
    </row>
    <row r="50" spans="2:10" ht="15.75" thickBot="1" x14ac:dyDescent="0.3">
      <c r="B50" t="s">
        <v>163</v>
      </c>
      <c r="C50" s="27" t="s">
        <v>66</v>
      </c>
      <c r="D50" s="27" t="s">
        <v>124</v>
      </c>
      <c r="E50" s="28">
        <v>0</v>
      </c>
      <c r="F50" s="28">
        <v>0</v>
      </c>
      <c r="H50" s="32">
        <v>0</v>
      </c>
      <c r="I50" s="32">
        <v>1</v>
      </c>
      <c r="J50" s="32">
        <v>1</v>
      </c>
    </row>
    <row r="51" spans="2:10" s="28" customFormat="1" ht="15.75" thickBot="1" x14ac:dyDescent="0.3">
      <c r="C51" s="27" t="s">
        <v>66</v>
      </c>
      <c r="D51" s="27" t="s">
        <v>19</v>
      </c>
      <c r="E51" s="28">
        <v>0</v>
      </c>
      <c r="F51" s="28">
        <v>0</v>
      </c>
      <c r="H51" s="32">
        <v>1</v>
      </c>
      <c r="I51" s="32">
        <v>-1</v>
      </c>
      <c r="J51" s="32">
        <v>1</v>
      </c>
    </row>
    <row r="52" spans="2:10" s="28" customFormat="1" ht="15.75" thickBot="1" x14ac:dyDescent="0.3">
      <c r="C52" s="27" t="s">
        <v>66</v>
      </c>
      <c r="D52" s="27" t="s">
        <v>29</v>
      </c>
      <c r="E52" s="28">
        <v>0</v>
      </c>
      <c r="F52" s="28">
        <v>0</v>
      </c>
      <c r="H52" s="32">
        <v>0</v>
      </c>
      <c r="I52" s="32">
        <v>1</v>
      </c>
      <c r="J52" s="32">
        <v>1</v>
      </c>
    </row>
    <row r="53" spans="2:10" s="28" customFormat="1" ht="15.75" thickBot="1" x14ac:dyDescent="0.3">
      <c r="C53" s="27" t="s">
        <v>66</v>
      </c>
      <c r="D53" s="27" t="s">
        <v>31</v>
      </c>
      <c r="E53" s="28">
        <v>0</v>
      </c>
      <c r="F53" s="28">
        <v>0</v>
      </c>
      <c r="H53" s="32">
        <v>0</v>
      </c>
      <c r="I53" s="32">
        <v>0</v>
      </c>
      <c r="J53" s="32">
        <v>1</v>
      </c>
    </row>
    <row r="54" spans="2:10" s="28" customFormat="1" ht="15.75" thickBot="1" x14ac:dyDescent="0.3">
      <c r="C54" s="27" t="s">
        <v>66</v>
      </c>
      <c r="D54" s="27" t="s">
        <v>35</v>
      </c>
      <c r="E54" s="28">
        <v>0</v>
      </c>
      <c r="F54" s="28">
        <v>0</v>
      </c>
      <c r="H54" s="32">
        <v>0</v>
      </c>
      <c r="I54" s="32">
        <v>0</v>
      </c>
      <c r="J54" s="32">
        <v>1</v>
      </c>
    </row>
    <row r="55" spans="2:10" ht="15.75" thickBot="1" x14ac:dyDescent="0.3">
      <c r="B55" t="s">
        <v>162</v>
      </c>
      <c r="C55" s="30" t="s">
        <v>65</v>
      </c>
      <c r="D55" s="30" t="s">
        <v>124</v>
      </c>
      <c r="E55" s="28">
        <v>0</v>
      </c>
      <c r="F55" s="28">
        <v>0</v>
      </c>
      <c r="H55" s="32">
        <v>1</v>
      </c>
      <c r="I55" s="32">
        <v>1</v>
      </c>
      <c r="J55" s="32">
        <v>1</v>
      </c>
    </row>
    <row r="56" spans="2:10" s="28" customFormat="1" ht="15.75" thickBot="1" x14ac:dyDescent="0.3">
      <c r="C56" s="30" t="s">
        <v>65</v>
      </c>
      <c r="D56" s="30" t="s">
        <v>19</v>
      </c>
      <c r="E56" s="28">
        <v>0</v>
      </c>
      <c r="F56" s="28">
        <v>0</v>
      </c>
      <c r="H56" s="32">
        <v>1</v>
      </c>
      <c r="I56" s="32">
        <v>0</v>
      </c>
      <c r="J56" s="32">
        <v>0</v>
      </c>
    </row>
    <row r="57" spans="2:10" s="28" customFormat="1" ht="15.75" thickBot="1" x14ac:dyDescent="0.3">
      <c r="C57" s="30" t="s">
        <v>65</v>
      </c>
      <c r="D57" s="30" t="s">
        <v>29</v>
      </c>
      <c r="E57" s="28">
        <v>0</v>
      </c>
      <c r="F57" s="28">
        <v>0</v>
      </c>
      <c r="H57" s="32">
        <v>1</v>
      </c>
      <c r="I57" s="32">
        <v>1</v>
      </c>
      <c r="J57" s="32">
        <v>1</v>
      </c>
    </row>
    <row r="58" spans="2:10" s="28" customFormat="1" ht="15.75" thickBot="1" x14ac:dyDescent="0.3">
      <c r="C58" s="30" t="s">
        <v>65</v>
      </c>
      <c r="D58" s="30" t="s">
        <v>31</v>
      </c>
      <c r="E58" s="28">
        <v>0</v>
      </c>
      <c r="F58" s="28">
        <v>0</v>
      </c>
      <c r="H58" s="32">
        <v>1</v>
      </c>
      <c r="I58" s="32" t="s">
        <v>160</v>
      </c>
      <c r="J58" s="32" t="s">
        <v>160</v>
      </c>
    </row>
    <row r="59" spans="2:10" s="28" customFormat="1" ht="15.75" thickBot="1" x14ac:dyDescent="0.3">
      <c r="B59" s="4">
        <v>2025</v>
      </c>
      <c r="C59" s="30" t="s">
        <v>65</v>
      </c>
      <c r="D59" s="30" t="s">
        <v>35</v>
      </c>
      <c r="E59" s="28">
        <v>0</v>
      </c>
      <c r="F59" s="28">
        <v>0</v>
      </c>
      <c r="H59" s="32">
        <v>1</v>
      </c>
      <c r="I59" s="32" t="s">
        <v>160</v>
      </c>
      <c r="J59" s="32" t="s">
        <v>160</v>
      </c>
    </row>
    <row r="60" spans="2:10" ht="15.75" thickBot="1" x14ac:dyDescent="0.3">
      <c r="B60" t="s">
        <v>177</v>
      </c>
      <c r="C60" s="27" t="s">
        <v>71</v>
      </c>
      <c r="D60" s="27" t="s">
        <v>124</v>
      </c>
      <c r="E60" s="28">
        <v>-0.25</v>
      </c>
      <c r="F60" s="28">
        <v>-0.25</v>
      </c>
      <c r="G60" s="33"/>
      <c r="H60" s="40">
        <v>1</v>
      </c>
      <c r="I60" s="40">
        <v>1</v>
      </c>
      <c r="J60" s="40">
        <v>1</v>
      </c>
    </row>
    <row r="61" spans="2:10" s="28" customFormat="1" ht="15.75" thickBot="1" x14ac:dyDescent="0.3">
      <c r="B61" s="4"/>
      <c r="C61" s="27" t="s">
        <v>71</v>
      </c>
      <c r="D61" s="27" t="s">
        <v>23</v>
      </c>
      <c r="E61" s="28">
        <v>0</v>
      </c>
      <c r="F61" s="28">
        <v>-0.25</v>
      </c>
      <c r="H61" s="40">
        <v>1</v>
      </c>
      <c r="I61" s="40">
        <v>1</v>
      </c>
      <c r="J61" s="40">
        <v>1</v>
      </c>
    </row>
    <row r="62" spans="2:10" s="28" customFormat="1" ht="15.75" thickBot="1" x14ac:dyDescent="0.3">
      <c r="B62" s="4"/>
      <c r="C62" s="27" t="s">
        <v>71</v>
      </c>
      <c r="D62" s="27" t="s">
        <v>25</v>
      </c>
      <c r="E62" s="28">
        <v>-0.25</v>
      </c>
      <c r="F62" s="28">
        <v>-0.25</v>
      </c>
      <c r="H62" s="40">
        <v>1</v>
      </c>
      <c r="I62" s="40">
        <v>0</v>
      </c>
      <c r="J62" s="40">
        <v>0</v>
      </c>
    </row>
    <row r="63" spans="2:10" s="28" customFormat="1" ht="15.75" thickBot="1" x14ac:dyDescent="0.3">
      <c r="B63" s="4"/>
      <c r="C63" s="27" t="s">
        <v>71</v>
      </c>
      <c r="D63" s="27" t="s">
        <v>27</v>
      </c>
      <c r="E63" s="28">
        <v>-0.25</v>
      </c>
      <c r="F63" s="28">
        <v>-0.25</v>
      </c>
      <c r="H63" s="40">
        <v>1</v>
      </c>
      <c r="I63" s="40">
        <v>0</v>
      </c>
      <c r="J63" s="40">
        <v>0</v>
      </c>
    </row>
    <row r="64" spans="2:10" s="28" customFormat="1" ht="15.75" thickBot="1" x14ac:dyDescent="0.3">
      <c r="B64" s="4"/>
      <c r="C64" s="27" t="s">
        <v>71</v>
      </c>
      <c r="D64" s="27" t="s">
        <v>39</v>
      </c>
      <c r="E64" s="28">
        <v>-0.25</v>
      </c>
      <c r="F64" s="28">
        <v>-0.25</v>
      </c>
      <c r="H64" s="40">
        <v>0</v>
      </c>
      <c r="I64" s="40">
        <v>0</v>
      </c>
      <c r="J64" s="40">
        <v>1</v>
      </c>
    </row>
    <row r="65" spans="2:10" ht="15.75" thickBot="1" x14ac:dyDescent="0.3">
      <c r="B65" t="s">
        <v>176</v>
      </c>
      <c r="C65" s="30" t="s">
        <v>73</v>
      </c>
      <c r="D65" s="30" t="s">
        <v>124</v>
      </c>
      <c r="E65">
        <v>-0.25</v>
      </c>
      <c r="F65" s="28">
        <v>-0.25</v>
      </c>
      <c r="H65" s="40">
        <v>0</v>
      </c>
      <c r="I65" s="40">
        <v>1</v>
      </c>
      <c r="J65" s="40">
        <v>1</v>
      </c>
    </row>
    <row r="66" spans="2:10" s="28" customFormat="1" ht="15.75" thickBot="1" x14ac:dyDescent="0.3">
      <c r="C66" s="30" t="s">
        <v>73</v>
      </c>
      <c r="D66" s="30" t="s">
        <v>23</v>
      </c>
      <c r="E66" s="28">
        <v>-0.25</v>
      </c>
      <c r="F66" s="28">
        <v>-0.25</v>
      </c>
      <c r="H66" s="40">
        <v>0</v>
      </c>
      <c r="I66" s="40">
        <v>0</v>
      </c>
      <c r="J66" s="40">
        <v>1</v>
      </c>
    </row>
    <row r="67" spans="2:10" s="28" customFormat="1" ht="15.75" thickBot="1" x14ac:dyDescent="0.3">
      <c r="C67" s="30" t="s">
        <v>73</v>
      </c>
      <c r="D67" s="30" t="s">
        <v>25</v>
      </c>
      <c r="E67" s="28">
        <v>-0.25</v>
      </c>
      <c r="F67" s="28">
        <v>-0.25</v>
      </c>
      <c r="H67" s="40">
        <v>1</v>
      </c>
      <c r="I67" s="40">
        <v>1</v>
      </c>
      <c r="J67" s="40" t="s">
        <v>160</v>
      </c>
    </row>
    <row r="68" spans="2:10" s="28" customFormat="1" ht="15.75" thickBot="1" x14ac:dyDescent="0.3">
      <c r="C68" s="30" t="s">
        <v>73</v>
      </c>
      <c r="D68" s="30" t="s">
        <v>27</v>
      </c>
      <c r="E68" s="28">
        <v>-0.25</v>
      </c>
      <c r="F68" s="28">
        <v>-0.25</v>
      </c>
      <c r="H68" s="40">
        <v>-1</v>
      </c>
      <c r="I68" s="40">
        <v>0</v>
      </c>
      <c r="J68" s="40">
        <v>0</v>
      </c>
    </row>
    <row r="69" spans="2:10" s="28" customFormat="1" ht="15.75" thickBot="1" x14ac:dyDescent="0.3">
      <c r="C69" s="30" t="s">
        <v>73</v>
      </c>
      <c r="D69" s="30" t="s">
        <v>39</v>
      </c>
      <c r="E69" s="28">
        <v>-0.25</v>
      </c>
      <c r="F69" s="28">
        <v>-0.25</v>
      </c>
      <c r="H69" s="40">
        <v>0</v>
      </c>
      <c r="I69" s="40" t="s">
        <v>160</v>
      </c>
      <c r="J69" s="40">
        <v>0</v>
      </c>
    </row>
    <row r="70" spans="2:10" ht="15.75" thickBot="1" x14ac:dyDescent="0.3">
      <c r="B70" t="s">
        <v>175</v>
      </c>
      <c r="C70" s="27" t="s">
        <v>70</v>
      </c>
      <c r="D70" s="27" t="s">
        <v>124</v>
      </c>
      <c r="E70" s="28">
        <v>-0.5</v>
      </c>
      <c r="F70" s="28">
        <v>-0.5</v>
      </c>
      <c r="H70" s="40">
        <v>0</v>
      </c>
      <c r="I70" s="40">
        <v>0</v>
      </c>
      <c r="J70" s="40">
        <v>1</v>
      </c>
    </row>
    <row r="71" spans="2:10" s="28" customFormat="1" ht="15.75" thickBot="1" x14ac:dyDescent="0.3">
      <c r="C71" s="27" t="s">
        <v>70</v>
      </c>
      <c r="D71" s="27" t="s">
        <v>23</v>
      </c>
      <c r="E71" s="28">
        <v>-0.5</v>
      </c>
      <c r="F71" s="28">
        <v>-0.5</v>
      </c>
      <c r="H71" s="40">
        <v>-1</v>
      </c>
      <c r="I71" s="40">
        <v>1</v>
      </c>
      <c r="J71" s="40">
        <v>1</v>
      </c>
    </row>
    <row r="72" spans="2:10" s="28" customFormat="1" ht="15.75" thickBot="1" x14ac:dyDescent="0.3">
      <c r="C72" s="27" t="s">
        <v>70</v>
      </c>
      <c r="D72" s="27" t="s">
        <v>25</v>
      </c>
      <c r="E72" s="28">
        <v>-0.5</v>
      </c>
      <c r="F72" s="28">
        <v>-0.5</v>
      </c>
      <c r="H72" s="40">
        <v>-1</v>
      </c>
      <c r="I72" s="40">
        <v>1</v>
      </c>
      <c r="J72" s="40">
        <v>1</v>
      </c>
    </row>
    <row r="73" spans="2:10" s="28" customFormat="1" ht="15.75" thickBot="1" x14ac:dyDescent="0.3">
      <c r="C73" s="27" t="s">
        <v>70</v>
      </c>
      <c r="D73" s="27" t="s">
        <v>27</v>
      </c>
      <c r="E73" s="28">
        <v>-0.5</v>
      </c>
      <c r="F73" s="28">
        <v>-0.5</v>
      </c>
      <c r="H73" s="40">
        <v>-1</v>
      </c>
      <c r="I73" s="40">
        <v>1</v>
      </c>
      <c r="J73" s="40">
        <v>1</v>
      </c>
    </row>
    <row r="74" spans="2:10" s="28" customFormat="1" ht="15.75" thickBot="1" x14ac:dyDescent="0.3">
      <c r="C74" s="27" t="s">
        <v>70</v>
      </c>
      <c r="D74" s="27" t="s">
        <v>39</v>
      </c>
      <c r="E74" s="28">
        <v>-0.5</v>
      </c>
      <c r="F74" s="28">
        <v>-0.5</v>
      </c>
      <c r="H74" s="40">
        <v>0</v>
      </c>
      <c r="I74" s="40">
        <v>1</v>
      </c>
      <c r="J74" s="40">
        <v>1</v>
      </c>
    </row>
    <row r="75" spans="2:10" ht="15.75" thickBot="1" x14ac:dyDescent="0.3">
      <c r="B75" t="s">
        <v>174</v>
      </c>
      <c r="C75" s="30" t="s">
        <v>69</v>
      </c>
      <c r="D75" s="30" t="s">
        <v>124</v>
      </c>
      <c r="E75" s="28">
        <v>0</v>
      </c>
      <c r="F75" s="28">
        <v>0</v>
      </c>
      <c r="H75" s="40">
        <v>0</v>
      </c>
      <c r="I75" s="40">
        <v>0</v>
      </c>
      <c r="J75" s="40">
        <v>1</v>
      </c>
    </row>
    <row r="76" spans="2:10" s="28" customFormat="1" ht="15.75" thickBot="1" x14ac:dyDescent="0.3">
      <c r="C76" s="30" t="s">
        <v>69</v>
      </c>
      <c r="D76" s="30" t="s">
        <v>23</v>
      </c>
      <c r="E76" s="28">
        <v>0</v>
      </c>
      <c r="F76" s="28">
        <v>0</v>
      </c>
      <c r="H76" s="40">
        <v>-1</v>
      </c>
      <c r="I76" s="40">
        <v>0</v>
      </c>
      <c r="J76" s="40">
        <v>1</v>
      </c>
    </row>
    <row r="77" spans="2:10" s="28" customFormat="1" ht="15.75" thickBot="1" x14ac:dyDescent="0.3">
      <c r="C77" s="30" t="s">
        <v>69</v>
      </c>
      <c r="D77" s="30" t="s">
        <v>25</v>
      </c>
      <c r="E77" s="28">
        <v>0</v>
      </c>
      <c r="F77" s="28">
        <v>0</v>
      </c>
      <c r="H77" s="40">
        <v>1</v>
      </c>
      <c r="I77" s="40">
        <v>1</v>
      </c>
      <c r="J77" s="40">
        <v>1</v>
      </c>
    </row>
    <row r="78" spans="2:10" s="28" customFormat="1" ht="15.75" thickBot="1" x14ac:dyDescent="0.3">
      <c r="C78" s="30" t="s">
        <v>69</v>
      </c>
      <c r="D78" s="30" t="s">
        <v>27</v>
      </c>
      <c r="E78" s="28">
        <v>0</v>
      </c>
      <c r="F78" s="28">
        <v>0</v>
      </c>
      <c r="H78" s="40">
        <v>0</v>
      </c>
      <c r="I78" s="40">
        <v>0</v>
      </c>
      <c r="J78" s="40" t="s">
        <v>160</v>
      </c>
    </row>
    <row r="79" spans="2:10" s="28" customFormat="1" ht="15.75" thickBot="1" x14ac:dyDescent="0.3">
      <c r="C79" s="30" t="s">
        <v>69</v>
      </c>
      <c r="D79" s="30" t="s">
        <v>39</v>
      </c>
      <c r="E79" s="28">
        <v>0</v>
      </c>
      <c r="F79" s="28">
        <v>0</v>
      </c>
      <c r="H79" s="40">
        <v>0</v>
      </c>
      <c r="I79" s="40">
        <v>0</v>
      </c>
      <c r="J79" s="40">
        <v>1</v>
      </c>
    </row>
    <row r="80" spans="2:10" ht="15.75" thickBot="1" x14ac:dyDescent="0.3">
      <c r="B80" t="s">
        <v>173</v>
      </c>
      <c r="C80" s="27" t="s">
        <v>68</v>
      </c>
      <c r="D80" s="27" t="s">
        <v>124</v>
      </c>
      <c r="E80" s="28">
        <v>0</v>
      </c>
      <c r="F80" s="28">
        <v>0</v>
      </c>
      <c r="H80" s="40">
        <v>1</v>
      </c>
      <c r="I80" s="40">
        <v>0</v>
      </c>
      <c r="J80" s="40">
        <v>1</v>
      </c>
    </row>
    <row r="81" spans="2:10" s="28" customFormat="1" ht="15.75" thickBot="1" x14ac:dyDescent="0.3">
      <c r="C81" s="27" t="s">
        <v>68</v>
      </c>
      <c r="D81" s="27" t="s">
        <v>23</v>
      </c>
      <c r="E81" s="28">
        <v>0</v>
      </c>
      <c r="F81" s="28">
        <v>0</v>
      </c>
      <c r="H81" s="40">
        <v>1</v>
      </c>
      <c r="I81" s="40" t="s">
        <v>160</v>
      </c>
      <c r="J81" s="40">
        <v>0</v>
      </c>
    </row>
    <row r="82" spans="2:10" s="28" customFormat="1" ht="15.75" thickBot="1" x14ac:dyDescent="0.3">
      <c r="C82" s="27" t="s">
        <v>68</v>
      </c>
      <c r="D82" s="27" t="s">
        <v>25</v>
      </c>
      <c r="E82" s="28">
        <v>0</v>
      </c>
      <c r="F82" s="28">
        <v>0</v>
      </c>
      <c r="H82" s="40">
        <v>1</v>
      </c>
      <c r="I82" s="40" t="s">
        <v>160</v>
      </c>
      <c r="J82" s="40" t="s">
        <v>160</v>
      </c>
    </row>
    <row r="83" spans="2:10" s="28" customFormat="1" ht="15.75" thickBot="1" x14ac:dyDescent="0.3">
      <c r="C83" s="27" t="s">
        <v>68</v>
      </c>
      <c r="D83" s="27" t="s">
        <v>27</v>
      </c>
      <c r="E83" s="28">
        <v>0</v>
      </c>
      <c r="F83" s="28">
        <v>0</v>
      </c>
      <c r="H83" s="40">
        <v>1</v>
      </c>
      <c r="I83" s="40">
        <v>0</v>
      </c>
      <c r="J83" s="40" t="s">
        <v>160</v>
      </c>
    </row>
    <row r="84" spans="2:10" s="28" customFormat="1" ht="15.75" thickBot="1" x14ac:dyDescent="0.3">
      <c r="C84" s="27" t="s">
        <v>68</v>
      </c>
      <c r="D84" s="27" t="s">
        <v>39</v>
      </c>
      <c r="E84" s="28">
        <v>0</v>
      </c>
      <c r="F84" s="28">
        <v>0</v>
      </c>
      <c r="H84" s="40">
        <v>0</v>
      </c>
      <c r="I84" s="40">
        <v>0</v>
      </c>
      <c r="J84" s="40">
        <v>1</v>
      </c>
    </row>
    <row r="85" spans="2:10" ht="15.75" thickBot="1" x14ac:dyDescent="0.3">
      <c r="B85" t="s">
        <v>172</v>
      </c>
      <c r="C85" s="30" t="s">
        <v>67</v>
      </c>
      <c r="D85" s="30" t="s">
        <v>124</v>
      </c>
      <c r="E85" s="28">
        <v>0</v>
      </c>
      <c r="F85" s="28">
        <v>0</v>
      </c>
      <c r="H85" s="40">
        <v>0</v>
      </c>
      <c r="I85" s="40">
        <v>0</v>
      </c>
      <c r="J85" s="40">
        <v>1</v>
      </c>
    </row>
    <row r="86" spans="2:10" s="28" customFormat="1" ht="15.75" thickBot="1" x14ac:dyDescent="0.3">
      <c r="C86" s="30" t="s">
        <v>67</v>
      </c>
      <c r="D86" s="30" t="s">
        <v>23</v>
      </c>
      <c r="E86" s="28">
        <v>0</v>
      </c>
      <c r="F86" s="28">
        <v>0</v>
      </c>
      <c r="H86" s="40">
        <v>1</v>
      </c>
      <c r="I86" s="40">
        <v>1</v>
      </c>
      <c r="J86" s="40">
        <v>0</v>
      </c>
    </row>
    <row r="87" spans="2:10" s="28" customFormat="1" ht="15.75" thickBot="1" x14ac:dyDescent="0.3">
      <c r="C87" s="30" t="s">
        <v>67</v>
      </c>
      <c r="D87" s="30" t="s">
        <v>25</v>
      </c>
      <c r="E87" s="28">
        <v>0</v>
      </c>
      <c r="F87" s="28">
        <v>0</v>
      </c>
      <c r="H87" s="40">
        <v>1</v>
      </c>
      <c r="I87" s="40">
        <v>1</v>
      </c>
      <c r="J87" s="40">
        <v>1</v>
      </c>
    </row>
    <row r="88" spans="2:10" s="28" customFormat="1" ht="15.75" thickBot="1" x14ac:dyDescent="0.3">
      <c r="C88" s="30" t="s">
        <v>67</v>
      </c>
      <c r="D88" s="30" t="s">
        <v>27</v>
      </c>
      <c r="E88" s="28">
        <v>0</v>
      </c>
      <c r="F88" s="28">
        <v>0</v>
      </c>
      <c r="H88" s="40">
        <v>1</v>
      </c>
      <c r="I88" s="40">
        <v>0</v>
      </c>
      <c r="J88" s="40" t="s">
        <v>160</v>
      </c>
    </row>
    <row r="89" spans="2:10" s="28" customFormat="1" ht="15.75" thickBot="1" x14ac:dyDescent="0.3">
      <c r="C89" s="30" t="s">
        <v>67</v>
      </c>
      <c r="D89" s="30" t="s">
        <v>39</v>
      </c>
      <c r="E89" s="28">
        <v>0</v>
      </c>
      <c r="F89" s="28">
        <v>0</v>
      </c>
      <c r="H89" s="40">
        <v>1</v>
      </c>
      <c r="I89" s="40">
        <v>0</v>
      </c>
      <c r="J89" s="40">
        <v>1</v>
      </c>
    </row>
    <row r="90" spans="2:10" ht="15.75" thickBot="1" x14ac:dyDescent="0.3">
      <c r="B90" t="s">
        <v>171</v>
      </c>
      <c r="C90" s="27" t="s">
        <v>66</v>
      </c>
      <c r="D90" s="27" t="s">
        <v>124</v>
      </c>
      <c r="E90" s="28">
        <v>0</v>
      </c>
      <c r="F90" s="28">
        <v>0</v>
      </c>
      <c r="H90" s="40">
        <v>0</v>
      </c>
      <c r="I90" s="40">
        <v>1</v>
      </c>
      <c r="J90" s="40">
        <v>1</v>
      </c>
    </row>
    <row r="91" spans="2:10" s="28" customFormat="1" ht="15.75" thickBot="1" x14ac:dyDescent="0.3">
      <c r="C91" s="27" t="s">
        <v>66</v>
      </c>
      <c r="D91" s="27" t="s">
        <v>23</v>
      </c>
      <c r="E91" s="28">
        <v>0</v>
      </c>
      <c r="F91" s="28">
        <v>0</v>
      </c>
      <c r="H91" s="40">
        <v>1</v>
      </c>
      <c r="I91" s="40">
        <v>0</v>
      </c>
      <c r="J91" s="40">
        <v>0</v>
      </c>
    </row>
    <row r="92" spans="2:10" s="28" customFormat="1" ht="15.75" thickBot="1" x14ac:dyDescent="0.3">
      <c r="C92" s="27" t="s">
        <v>66</v>
      </c>
      <c r="D92" s="27" t="s">
        <v>25</v>
      </c>
      <c r="E92" s="28">
        <v>0</v>
      </c>
      <c r="F92" s="28">
        <v>0</v>
      </c>
      <c r="H92" s="40">
        <v>0</v>
      </c>
      <c r="I92" s="40">
        <v>1</v>
      </c>
      <c r="J92" s="40">
        <v>0</v>
      </c>
    </row>
    <row r="93" spans="2:10" s="28" customFormat="1" ht="15.75" thickBot="1" x14ac:dyDescent="0.3">
      <c r="C93" s="27" t="s">
        <v>66</v>
      </c>
      <c r="D93" s="27" t="s">
        <v>27</v>
      </c>
      <c r="E93" s="28">
        <v>0</v>
      </c>
      <c r="F93" s="28">
        <v>0</v>
      </c>
      <c r="H93" s="40">
        <v>0</v>
      </c>
      <c r="I93" s="40">
        <v>-1</v>
      </c>
      <c r="J93" s="40" t="s">
        <v>160</v>
      </c>
    </row>
    <row r="94" spans="2:10" s="28" customFormat="1" ht="15.75" thickBot="1" x14ac:dyDescent="0.3">
      <c r="C94" s="27" t="s">
        <v>66</v>
      </c>
      <c r="D94" s="27" t="s">
        <v>39</v>
      </c>
      <c r="E94" s="28">
        <v>0</v>
      </c>
      <c r="F94" s="28">
        <v>0</v>
      </c>
      <c r="H94" s="40">
        <v>1</v>
      </c>
      <c r="I94" s="40">
        <v>1</v>
      </c>
      <c r="J94" s="40">
        <v>-1</v>
      </c>
    </row>
    <row r="95" spans="2:10" ht="15.75" thickBot="1" x14ac:dyDescent="0.3">
      <c r="B95" t="s">
        <v>170</v>
      </c>
      <c r="C95" s="30" t="s">
        <v>65</v>
      </c>
      <c r="D95" s="30" t="s">
        <v>124</v>
      </c>
      <c r="E95" s="28">
        <v>0</v>
      </c>
      <c r="F95" s="28">
        <v>0</v>
      </c>
      <c r="H95" s="40">
        <v>-1</v>
      </c>
      <c r="I95" s="40">
        <v>0</v>
      </c>
      <c r="J95" s="40">
        <v>1</v>
      </c>
    </row>
    <row r="96" spans="2:10" s="28" customFormat="1" ht="15.75" thickBot="1" x14ac:dyDescent="0.3">
      <c r="C96" s="30" t="s">
        <v>65</v>
      </c>
      <c r="D96" s="30" t="s">
        <v>23</v>
      </c>
      <c r="E96" s="28">
        <v>0</v>
      </c>
      <c r="F96" s="28">
        <v>0</v>
      </c>
      <c r="H96" s="40">
        <v>1</v>
      </c>
      <c r="I96" s="40">
        <v>0</v>
      </c>
      <c r="J96" s="40">
        <v>0</v>
      </c>
    </row>
    <row r="97" spans="2:10" s="28" customFormat="1" ht="15.75" thickBot="1" x14ac:dyDescent="0.3">
      <c r="C97" s="30" t="s">
        <v>65</v>
      </c>
      <c r="D97" s="30" t="s">
        <v>25</v>
      </c>
      <c r="E97" s="28">
        <v>0</v>
      </c>
      <c r="F97" s="28">
        <v>0</v>
      </c>
      <c r="H97" s="40">
        <v>1</v>
      </c>
      <c r="I97" s="40">
        <v>1</v>
      </c>
      <c r="J97" s="40">
        <v>1</v>
      </c>
    </row>
    <row r="98" spans="2:10" s="28" customFormat="1" ht="15.75" thickBot="1" x14ac:dyDescent="0.3">
      <c r="C98" s="30" t="s">
        <v>65</v>
      </c>
      <c r="D98" s="30" t="s">
        <v>27</v>
      </c>
      <c r="E98" s="28">
        <v>0</v>
      </c>
      <c r="F98" s="28">
        <v>0</v>
      </c>
      <c r="H98" s="40">
        <v>1</v>
      </c>
      <c r="I98" s="40">
        <v>-1</v>
      </c>
      <c r="J98" s="40">
        <v>-1</v>
      </c>
    </row>
    <row r="99" spans="2:10" s="28" customFormat="1" ht="15.75" thickBot="1" x14ac:dyDescent="0.3">
      <c r="B99" s="4">
        <v>2024</v>
      </c>
      <c r="C99" s="30" t="s">
        <v>65</v>
      </c>
      <c r="D99" s="30" t="s">
        <v>39</v>
      </c>
      <c r="E99" s="28">
        <v>0</v>
      </c>
      <c r="F99" s="28">
        <v>0</v>
      </c>
      <c r="H99" s="40">
        <v>0</v>
      </c>
      <c r="I99" s="40">
        <v>1</v>
      </c>
      <c r="J99" s="40">
        <v>-1</v>
      </c>
    </row>
    <row r="100" spans="2:10" ht="15.75" thickBot="1" x14ac:dyDescent="0.3">
      <c r="B100" t="s">
        <v>185</v>
      </c>
      <c r="C100" s="27" t="s">
        <v>71</v>
      </c>
      <c r="D100" s="27" t="s">
        <v>124</v>
      </c>
      <c r="E100" s="28">
        <v>0</v>
      </c>
      <c r="F100" s="28">
        <v>0</v>
      </c>
      <c r="H100" s="40">
        <v>-1</v>
      </c>
      <c r="I100" s="40">
        <v>0</v>
      </c>
      <c r="J100" s="40">
        <v>1</v>
      </c>
    </row>
    <row r="101" spans="2:10" s="28" customFormat="1" ht="15.75" thickBot="1" x14ac:dyDescent="0.3">
      <c r="B101" s="4"/>
      <c r="C101" s="27" t="s">
        <v>71</v>
      </c>
      <c r="D101" s="27" t="s">
        <v>21</v>
      </c>
      <c r="E101" s="28">
        <v>0</v>
      </c>
      <c r="F101" s="28">
        <v>0</v>
      </c>
      <c r="H101" s="40">
        <v>-1</v>
      </c>
      <c r="I101" s="40">
        <v>1</v>
      </c>
      <c r="J101" s="40">
        <v>1</v>
      </c>
    </row>
    <row r="102" spans="2:10" s="28" customFormat="1" ht="15.75" thickBot="1" x14ac:dyDescent="0.3">
      <c r="B102" s="4"/>
      <c r="C102" s="27" t="s">
        <v>71</v>
      </c>
      <c r="D102" s="27" t="s">
        <v>29</v>
      </c>
      <c r="E102" s="28">
        <v>0</v>
      </c>
      <c r="F102" s="28">
        <v>0</v>
      </c>
      <c r="H102" s="40">
        <v>1</v>
      </c>
      <c r="I102" s="40">
        <v>1</v>
      </c>
      <c r="J102" s="40">
        <v>1</v>
      </c>
    </row>
    <row r="103" spans="2:10" s="28" customFormat="1" ht="15.75" thickBot="1" x14ac:dyDescent="0.3">
      <c r="B103" s="4"/>
      <c r="C103" s="27" t="s">
        <v>71</v>
      </c>
      <c r="D103" s="27" t="s">
        <v>33</v>
      </c>
      <c r="E103" s="28">
        <v>0</v>
      </c>
      <c r="F103" s="28">
        <v>0</v>
      </c>
      <c r="H103" s="40">
        <v>-1</v>
      </c>
      <c r="I103" s="40">
        <v>1</v>
      </c>
      <c r="J103" s="40">
        <v>1</v>
      </c>
    </row>
    <row r="104" spans="2:10" s="28" customFormat="1" ht="15.75" thickBot="1" x14ac:dyDescent="0.3">
      <c r="B104" s="4"/>
      <c r="C104" s="27" t="s">
        <v>71</v>
      </c>
      <c r="D104" s="27" t="s">
        <v>37</v>
      </c>
      <c r="E104" s="28">
        <v>0</v>
      </c>
      <c r="F104" s="28">
        <v>0</v>
      </c>
      <c r="H104" s="40">
        <v>1</v>
      </c>
      <c r="I104" s="40">
        <v>1</v>
      </c>
      <c r="J104" s="40" t="s">
        <v>160</v>
      </c>
    </row>
    <row r="105" spans="2:10" ht="15.75" thickBot="1" x14ac:dyDescent="0.3">
      <c r="B105" t="s">
        <v>184</v>
      </c>
      <c r="C105" s="30" t="s">
        <v>74</v>
      </c>
      <c r="D105" s="30" t="s">
        <v>124</v>
      </c>
      <c r="E105" s="28">
        <v>0</v>
      </c>
      <c r="F105" s="28">
        <v>0</v>
      </c>
      <c r="H105" s="40">
        <v>-1</v>
      </c>
      <c r="I105" s="40">
        <v>0</v>
      </c>
      <c r="J105" s="40">
        <v>1</v>
      </c>
    </row>
    <row r="106" spans="2:10" s="28" customFormat="1" ht="15.75" thickBot="1" x14ac:dyDescent="0.3">
      <c r="C106" s="30" t="s">
        <v>74</v>
      </c>
      <c r="D106" s="30" t="s">
        <v>21</v>
      </c>
      <c r="E106" s="28">
        <v>0</v>
      </c>
      <c r="F106" s="28">
        <v>0</v>
      </c>
      <c r="H106" s="40">
        <v>-1</v>
      </c>
      <c r="I106" s="40">
        <v>1</v>
      </c>
      <c r="J106" s="40">
        <v>1</v>
      </c>
    </row>
    <row r="107" spans="2:10" s="28" customFormat="1" ht="15.75" thickBot="1" x14ac:dyDescent="0.3">
      <c r="C107" s="30" t="s">
        <v>74</v>
      </c>
      <c r="D107" s="30" t="s">
        <v>29</v>
      </c>
      <c r="E107" s="28">
        <v>0</v>
      </c>
      <c r="F107" s="28">
        <v>0</v>
      </c>
      <c r="H107" s="40">
        <v>1</v>
      </c>
      <c r="I107" s="40">
        <v>1</v>
      </c>
      <c r="J107" s="40">
        <v>1</v>
      </c>
    </row>
    <row r="108" spans="2:10" s="28" customFormat="1" ht="15.75" thickBot="1" x14ac:dyDescent="0.3">
      <c r="C108" s="30" t="s">
        <v>74</v>
      </c>
      <c r="D108" s="30" t="s">
        <v>33</v>
      </c>
      <c r="E108" s="28">
        <v>0</v>
      </c>
      <c r="F108" s="28">
        <v>0</v>
      </c>
      <c r="H108" s="40">
        <v>1</v>
      </c>
      <c r="I108" s="40">
        <v>1</v>
      </c>
      <c r="J108" s="40">
        <v>0</v>
      </c>
    </row>
    <row r="109" spans="2:10" s="28" customFormat="1" ht="15.75" thickBot="1" x14ac:dyDescent="0.3">
      <c r="C109" s="30" t="s">
        <v>74</v>
      </c>
      <c r="D109" s="30" t="s">
        <v>37</v>
      </c>
      <c r="E109" s="28">
        <v>0</v>
      </c>
      <c r="F109" s="28">
        <v>0</v>
      </c>
      <c r="H109" s="40">
        <v>1</v>
      </c>
      <c r="I109" s="40">
        <v>1</v>
      </c>
      <c r="J109" s="40" t="s">
        <v>160</v>
      </c>
    </row>
    <row r="110" spans="2:10" ht="15.75" thickBot="1" x14ac:dyDescent="0.3">
      <c r="B110" t="s">
        <v>183</v>
      </c>
      <c r="C110" s="27" t="s">
        <v>70</v>
      </c>
      <c r="D110" s="27" t="s">
        <v>124</v>
      </c>
      <c r="E110" s="28">
        <v>0</v>
      </c>
      <c r="F110" s="28">
        <v>0</v>
      </c>
      <c r="H110" s="40">
        <v>0</v>
      </c>
      <c r="I110" s="40">
        <v>0</v>
      </c>
      <c r="J110" s="40">
        <v>1</v>
      </c>
    </row>
    <row r="111" spans="2:10" s="28" customFormat="1" ht="15.75" thickBot="1" x14ac:dyDescent="0.3">
      <c r="C111" s="27" t="s">
        <v>70</v>
      </c>
      <c r="D111" s="27" t="s">
        <v>21</v>
      </c>
      <c r="E111" s="28">
        <v>0</v>
      </c>
      <c r="F111" s="28">
        <v>0</v>
      </c>
      <c r="H111" s="40">
        <v>-1</v>
      </c>
      <c r="I111" s="40">
        <v>1</v>
      </c>
      <c r="J111" s="40">
        <v>1</v>
      </c>
    </row>
    <row r="112" spans="2:10" s="28" customFormat="1" ht="15.75" thickBot="1" x14ac:dyDescent="0.3">
      <c r="C112" s="27" t="s">
        <v>70</v>
      </c>
      <c r="D112" s="27" t="s">
        <v>29</v>
      </c>
      <c r="E112" s="28">
        <v>0</v>
      </c>
      <c r="F112" s="28">
        <v>0</v>
      </c>
      <c r="H112" s="40">
        <v>1</v>
      </c>
      <c r="I112" s="40">
        <v>1</v>
      </c>
      <c r="J112" s="40">
        <v>1</v>
      </c>
    </row>
    <row r="113" spans="2:10" s="28" customFormat="1" ht="15.75" thickBot="1" x14ac:dyDescent="0.3">
      <c r="C113" s="27" t="s">
        <v>70</v>
      </c>
      <c r="D113" s="27" t="s">
        <v>33</v>
      </c>
      <c r="E113" s="28">
        <v>0</v>
      </c>
      <c r="F113" s="28">
        <v>0</v>
      </c>
      <c r="H113" s="40">
        <v>1</v>
      </c>
      <c r="I113" s="40">
        <v>1</v>
      </c>
      <c r="J113" s="40">
        <v>1</v>
      </c>
    </row>
    <row r="114" spans="2:10" s="28" customFormat="1" ht="15.75" thickBot="1" x14ac:dyDescent="0.3">
      <c r="C114" s="27" t="s">
        <v>70</v>
      </c>
      <c r="D114" s="27" t="s">
        <v>37</v>
      </c>
      <c r="E114" s="28">
        <v>0</v>
      </c>
      <c r="F114" s="28">
        <v>0</v>
      </c>
      <c r="H114" s="40">
        <v>1</v>
      </c>
      <c r="I114" s="40">
        <v>1</v>
      </c>
      <c r="J114" s="40" t="s">
        <v>160</v>
      </c>
    </row>
    <row r="115" spans="2:10" ht="15.75" thickBot="1" x14ac:dyDescent="0.3">
      <c r="B115" t="s">
        <v>182</v>
      </c>
      <c r="C115" s="30" t="s">
        <v>69</v>
      </c>
      <c r="D115" s="30" t="s">
        <v>124</v>
      </c>
      <c r="E115" s="28">
        <v>0.25</v>
      </c>
      <c r="F115" s="28">
        <v>0.25</v>
      </c>
      <c r="H115" s="40">
        <v>0</v>
      </c>
      <c r="I115" s="40">
        <v>1</v>
      </c>
      <c r="J115" s="40">
        <v>1</v>
      </c>
    </row>
    <row r="116" spans="2:10" s="28" customFormat="1" ht="15.75" thickBot="1" x14ac:dyDescent="0.3">
      <c r="C116" s="30" t="s">
        <v>69</v>
      </c>
      <c r="D116" s="30" t="s">
        <v>21</v>
      </c>
      <c r="E116" s="28">
        <v>0.25</v>
      </c>
      <c r="F116" s="28">
        <v>0.25</v>
      </c>
      <c r="H116" s="40">
        <v>-1</v>
      </c>
      <c r="I116" s="40">
        <v>-1</v>
      </c>
      <c r="J116" s="40">
        <v>1</v>
      </c>
    </row>
    <row r="117" spans="2:10" s="28" customFormat="1" ht="15.75" thickBot="1" x14ac:dyDescent="0.3">
      <c r="C117" s="30" t="s">
        <v>69</v>
      </c>
      <c r="D117" s="30" t="s">
        <v>29</v>
      </c>
      <c r="E117" s="28">
        <v>0.25</v>
      </c>
      <c r="F117" s="28">
        <v>0.25</v>
      </c>
      <c r="H117" s="40">
        <v>0</v>
      </c>
      <c r="I117" s="40">
        <v>1</v>
      </c>
      <c r="J117" s="40">
        <v>1</v>
      </c>
    </row>
    <row r="118" spans="2:10" s="28" customFormat="1" ht="15.75" thickBot="1" x14ac:dyDescent="0.3">
      <c r="C118" s="30" t="s">
        <v>69</v>
      </c>
      <c r="D118" s="30" t="s">
        <v>33</v>
      </c>
      <c r="E118" s="28">
        <v>0.25</v>
      </c>
      <c r="F118" s="28">
        <v>0.25</v>
      </c>
      <c r="H118" s="40">
        <v>1</v>
      </c>
      <c r="I118" s="40">
        <v>1</v>
      </c>
      <c r="J118" s="40">
        <v>0</v>
      </c>
    </row>
    <row r="119" spans="2:10" s="28" customFormat="1" ht="15.75" thickBot="1" x14ac:dyDescent="0.3">
      <c r="C119" s="30" t="s">
        <v>69</v>
      </c>
      <c r="D119" s="30" t="s">
        <v>37</v>
      </c>
      <c r="E119" s="28">
        <v>0.25</v>
      </c>
      <c r="F119" s="28">
        <v>0.25</v>
      </c>
      <c r="H119" s="40">
        <v>1</v>
      </c>
      <c r="I119" s="40">
        <v>1</v>
      </c>
      <c r="J119" s="40" t="s">
        <v>160</v>
      </c>
    </row>
    <row r="120" spans="2:10" ht="15.75" thickBot="1" x14ac:dyDescent="0.3">
      <c r="B120" t="s">
        <v>181</v>
      </c>
      <c r="C120" s="27" t="s">
        <v>68</v>
      </c>
      <c r="D120" s="27" t="s">
        <v>124</v>
      </c>
      <c r="E120">
        <v>0</v>
      </c>
      <c r="F120" s="28">
        <v>0</v>
      </c>
      <c r="H120" s="40">
        <v>-1</v>
      </c>
      <c r="I120" s="40">
        <v>0</v>
      </c>
      <c r="J120" s="40">
        <v>1</v>
      </c>
    </row>
    <row r="121" spans="2:10" s="28" customFormat="1" ht="15.75" thickBot="1" x14ac:dyDescent="0.3">
      <c r="C121" s="27" t="s">
        <v>68</v>
      </c>
      <c r="D121" s="27" t="s">
        <v>21</v>
      </c>
      <c r="E121" s="28">
        <v>0</v>
      </c>
      <c r="F121" s="28">
        <v>0</v>
      </c>
      <c r="H121" s="40">
        <v>-1</v>
      </c>
      <c r="I121" s="40">
        <v>1</v>
      </c>
      <c r="J121" s="40">
        <v>1</v>
      </c>
    </row>
    <row r="122" spans="2:10" s="28" customFormat="1" ht="15.75" thickBot="1" x14ac:dyDescent="0.3">
      <c r="C122" s="27" t="s">
        <v>68</v>
      </c>
      <c r="D122" s="27" t="s">
        <v>29</v>
      </c>
      <c r="E122" s="28">
        <v>0</v>
      </c>
      <c r="F122" s="28">
        <v>0</v>
      </c>
      <c r="H122" s="40">
        <v>0</v>
      </c>
      <c r="I122" s="40">
        <v>1</v>
      </c>
      <c r="J122" s="40">
        <v>1</v>
      </c>
    </row>
    <row r="123" spans="2:10" s="28" customFormat="1" ht="15.75" thickBot="1" x14ac:dyDescent="0.3">
      <c r="C123" s="27" t="s">
        <v>68</v>
      </c>
      <c r="D123" s="27" t="s">
        <v>33</v>
      </c>
      <c r="E123" s="28">
        <v>0</v>
      </c>
      <c r="F123" s="28">
        <v>0</v>
      </c>
      <c r="H123" s="40">
        <v>1</v>
      </c>
      <c r="I123" s="40">
        <v>1</v>
      </c>
      <c r="J123" s="40">
        <v>1</v>
      </c>
    </row>
    <row r="124" spans="2:10" s="28" customFormat="1" ht="15.75" thickBot="1" x14ac:dyDescent="0.3">
      <c r="C124" s="27" t="s">
        <v>68</v>
      </c>
      <c r="D124" s="27" t="s">
        <v>37</v>
      </c>
      <c r="E124" s="28">
        <v>0</v>
      </c>
      <c r="F124" s="28">
        <v>0</v>
      </c>
      <c r="H124" s="40">
        <v>1</v>
      </c>
      <c r="I124" s="40">
        <v>1</v>
      </c>
      <c r="J124" s="40">
        <v>0</v>
      </c>
    </row>
    <row r="125" spans="2:10" ht="15.75" thickBot="1" x14ac:dyDescent="0.3">
      <c r="B125" t="s">
        <v>180</v>
      </c>
      <c r="C125" s="30" t="s">
        <v>72</v>
      </c>
      <c r="D125" s="30" t="s">
        <v>124</v>
      </c>
      <c r="E125" s="28">
        <v>0.25</v>
      </c>
      <c r="F125" s="28">
        <v>0.25</v>
      </c>
      <c r="H125" s="40">
        <v>0</v>
      </c>
      <c r="I125" s="40">
        <v>1</v>
      </c>
      <c r="J125" s="40">
        <v>1</v>
      </c>
    </row>
    <row r="126" spans="2:10" s="28" customFormat="1" ht="15.75" thickBot="1" x14ac:dyDescent="0.3">
      <c r="C126" s="30" t="s">
        <v>72</v>
      </c>
      <c r="D126" s="30" t="s">
        <v>21</v>
      </c>
      <c r="E126" s="28">
        <v>0.25</v>
      </c>
      <c r="F126" s="28">
        <v>0.25</v>
      </c>
      <c r="H126" s="40">
        <v>-1</v>
      </c>
      <c r="I126" s="40">
        <v>0</v>
      </c>
      <c r="J126" s="40">
        <v>1</v>
      </c>
    </row>
    <row r="127" spans="2:10" s="28" customFormat="1" ht="15.75" thickBot="1" x14ac:dyDescent="0.3">
      <c r="C127" s="30" t="s">
        <v>72</v>
      </c>
      <c r="D127" s="30" t="s">
        <v>29</v>
      </c>
      <c r="E127" s="28">
        <v>0.25</v>
      </c>
      <c r="F127" s="28">
        <v>0.25</v>
      </c>
      <c r="H127" s="40">
        <v>0</v>
      </c>
      <c r="I127" s="40">
        <v>1</v>
      </c>
      <c r="J127" s="40">
        <v>1</v>
      </c>
    </row>
    <row r="128" spans="2:10" s="28" customFormat="1" ht="15.75" thickBot="1" x14ac:dyDescent="0.3">
      <c r="C128" s="30" t="s">
        <v>72</v>
      </c>
      <c r="D128" s="30" t="s">
        <v>33</v>
      </c>
      <c r="E128" s="28">
        <v>0.25</v>
      </c>
      <c r="F128" s="28">
        <v>0.25</v>
      </c>
      <c r="H128" s="40">
        <v>1</v>
      </c>
      <c r="I128" s="40">
        <v>1</v>
      </c>
      <c r="J128" s="40">
        <v>0</v>
      </c>
    </row>
    <row r="129" spans="2:10" s="28" customFormat="1" ht="15.75" thickBot="1" x14ac:dyDescent="0.3">
      <c r="C129" s="30" t="s">
        <v>72</v>
      </c>
      <c r="D129" s="30" t="s">
        <v>37</v>
      </c>
      <c r="E129" s="28">
        <v>0.25</v>
      </c>
      <c r="F129" s="28">
        <v>0.25</v>
      </c>
      <c r="H129" s="40">
        <v>1</v>
      </c>
      <c r="I129" s="40">
        <v>1</v>
      </c>
      <c r="J129" s="40">
        <v>1</v>
      </c>
    </row>
    <row r="130" spans="2:10" ht="15.75" thickBot="1" x14ac:dyDescent="0.3">
      <c r="B130" t="s">
        <v>179</v>
      </c>
      <c r="C130" s="27" t="s">
        <v>66</v>
      </c>
      <c r="D130" s="27" t="s">
        <v>124</v>
      </c>
      <c r="E130" s="28">
        <v>0.25</v>
      </c>
      <c r="F130" s="28">
        <v>0.25</v>
      </c>
      <c r="H130" s="40">
        <v>0</v>
      </c>
      <c r="I130" s="40">
        <v>1</v>
      </c>
      <c r="J130" s="40">
        <v>1</v>
      </c>
    </row>
    <row r="131" spans="2:10" s="28" customFormat="1" ht="15.75" thickBot="1" x14ac:dyDescent="0.3">
      <c r="C131" s="27" t="s">
        <v>66</v>
      </c>
      <c r="D131" s="27" t="s">
        <v>21</v>
      </c>
      <c r="E131" s="28">
        <v>0.25</v>
      </c>
      <c r="F131" s="28">
        <v>0.25</v>
      </c>
      <c r="H131" s="40">
        <v>1</v>
      </c>
      <c r="I131" s="40">
        <v>1</v>
      </c>
      <c r="J131" s="40">
        <v>1</v>
      </c>
    </row>
    <row r="132" spans="2:10" s="28" customFormat="1" ht="15.75" thickBot="1" x14ac:dyDescent="0.3">
      <c r="C132" s="27" t="s">
        <v>66</v>
      </c>
      <c r="D132" s="27" t="s">
        <v>29</v>
      </c>
      <c r="E132" s="28">
        <v>0.25</v>
      </c>
      <c r="F132" s="28">
        <v>0.25</v>
      </c>
      <c r="H132" s="40">
        <v>1</v>
      </c>
      <c r="I132" s="40">
        <v>1</v>
      </c>
      <c r="J132" s="40">
        <v>1</v>
      </c>
    </row>
    <row r="133" spans="2:10" s="28" customFormat="1" ht="15.75" thickBot="1" x14ac:dyDescent="0.3">
      <c r="C133" s="27" t="s">
        <v>66</v>
      </c>
      <c r="D133" s="27" t="s">
        <v>33</v>
      </c>
      <c r="E133" s="28">
        <v>0.25</v>
      </c>
      <c r="F133" s="28">
        <v>0.25</v>
      </c>
      <c r="H133" s="40">
        <v>1</v>
      </c>
      <c r="I133" s="40">
        <v>1</v>
      </c>
      <c r="J133" s="40">
        <v>1</v>
      </c>
    </row>
    <row r="134" spans="2:10" s="28" customFormat="1" ht="15.75" thickBot="1" x14ac:dyDescent="0.3">
      <c r="C134" s="27" t="s">
        <v>66</v>
      </c>
      <c r="D134" s="27" t="s">
        <v>37</v>
      </c>
      <c r="E134" s="28">
        <v>0.25</v>
      </c>
      <c r="F134" s="28">
        <v>0.25</v>
      </c>
      <c r="H134" s="40">
        <v>1</v>
      </c>
      <c r="I134" s="40">
        <v>1</v>
      </c>
      <c r="J134" s="40">
        <v>1</v>
      </c>
    </row>
    <row r="135" spans="2:10" ht="15.75" thickBot="1" x14ac:dyDescent="0.3">
      <c r="B135" t="s">
        <v>178</v>
      </c>
      <c r="C135" s="30" t="s">
        <v>80</v>
      </c>
      <c r="D135" s="30" t="s">
        <v>124</v>
      </c>
      <c r="E135" s="28">
        <v>0.25</v>
      </c>
      <c r="F135" s="28">
        <v>0.25</v>
      </c>
      <c r="H135" s="40">
        <v>-1</v>
      </c>
      <c r="I135" s="40">
        <v>1</v>
      </c>
      <c r="J135" s="40">
        <v>1</v>
      </c>
    </row>
    <row r="136" spans="2:10" s="28" customFormat="1" ht="15.75" thickBot="1" x14ac:dyDescent="0.3">
      <c r="C136" s="30" t="s">
        <v>80</v>
      </c>
      <c r="D136" s="30" t="s">
        <v>21</v>
      </c>
      <c r="E136" s="28">
        <v>0.25</v>
      </c>
      <c r="F136" s="28">
        <v>0.25</v>
      </c>
      <c r="H136" s="40">
        <v>-1</v>
      </c>
      <c r="I136" s="40">
        <v>1</v>
      </c>
      <c r="J136" s="40">
        <v>1</v>
      </c>
    </row>
    <row r="137" spans="2:10" s="28" customFormat="1" ht="15.75" thickBot="1" x14ac:dyDescent="0.3">
      <c r="C137" s="30" t="s">
        <v>80</v>
      </c>
      <c r="D137" s="30" t="s">
        <v>29</v>
      </c>
      <c r="E137" s="28">
        <v>0.25</v>
      </c>
      <c r="F137" s="28">
        <v>0.25</v>
      </c>
      <c r="H137" s="40">
        <v>-1</v>
      </c>
      <c r="I137" s="40">
        <v>1</v>
      </c>
      <c r="J137" s="40">
        <v>1</v>
      </c>
    </row>
    <row r="138" spans="2:10" s="28" customFormat="1" ht="15.75" thickBot="1" x14ac:dyDescent="0.3">
      <c r="C138" s="30" t="s">
        <v>80</v>
      </c>
      <c r="D138" s="30" t="s">
        <v>33</v>
      </c>
      <c r="E138" s="28">
        <v>0.25</v>
      </c>
      <c r="F138" s="28">
        <v>0.25</v>
      </c>
      <c r="H138" s="40">
        <v>1</v>
      </c>
      <c r="I138" s="40">
        <v>1</v>
      </c>
      <c r="J138" s="40">
        <v>1</v>
      </c>
    </row>
    <row r="139" spans="2:10" s="28" customFormat="1" ht="15.75" thickBot="1" x14ac:dyDescent="0.3">
      <c r="B139" s="4">
        <v>2023</v>
      </c>
      <c r="C139" s="30" t="s">
        <v>80</v>
      </c>
      <c r="D139" s="30" t="s">
        <v>37</v>
      </c>
      <c r="E139" s="28">
        <v>0.25</v>
      </c>
      <c r="F139" s="28">
        <v>0.25</v>
      </c>
      <c r="H139" s="40">
        <v>1</v>
      </c>
      <c r="I139" s="40">
        <v>1</v>
      </c>
      <c r="J139" s="40">
        <v>1</v>
      </c>
    </row>
    <row r="140" spans="2:10" ht="15.75" thickBot="1" x14ac:dyDescent="0.3">
      <c r="B140" t="s">
        <v>186</v>
      </c>
      <c r="C140" s="27" t="s">
        <v>71</v>
      </c>
      <c r="D140" s="27" t="s">
        <v>124</v>
      </c>
      <c r="E140" s="28">
        <v>0.5</v>
      </c>
      <c r="F140" s="28">
        <v>0.5</v>
      </c>
      <c r="H140" s="40">
        <v>-1</v>
      </c>
      <c r="I140" s="40">
        <v>0</v>
      </c>
      <c r="J140" s="40">
        <v>0</v>
      </c>
    </row>
    <row r="141" spans="2:10" s="28" customFormat="1" ht="15.75" thickBot="1" x14ac:dyDescent="0.3">
      <c r="B141" s="4"/>
      <c r="C141" s="27" t="s">
        <v>71</v>
      </c>
      <c r="D141" s="27" t="s">
        <v>19</v>
      </c>
      <c r="E141" s="28">
        <v>0.5</v>
      </c>
      <c r="F141" s="28">
        <v>0.5</v>
      </c>
      <c r="H141" s="40">
        <v>-1</v>
      </c>
      <c r="I141" s="40">
        <v>1</v>
      </c>
      <c r="J141" s="40">
        <v>2</v>
      </c>
    </row>
    <row r="142" spans="2:10" s="28" customFormat="1" ht="15.75" thickBot="1" x14ac:dyDescent="0.3">
      <c r="B142" s="4"/>
      <c r="C142" s="27" t="s">
        <v>71</v>
      </c>
      <c r="D142" s="27" t="s">
        <v>23</v>
      </c>
      <c r="E142" s="28">
        <v>0.5</v>
      </c>
      <c r="F142" s="28">
        <v>0.5</v>
      </c>
      <c r="H142" s="40">
        <v>-1</v>
      </c>
      <c r="I142" s="40">
        <v>1</v>
      </c>
      <c r="J142" s="40">
        <v>1</v>
      </c>
    </row>
    <row r="143" spans="2:10" s="28" customFormat="1" ht="15.75" thickBot="1" x14ac:dyDescent="0.3">
      <c r="B143" s="4"/>
      <c r="C143" s="27" t="s">
        <v>71</v>
      </c>
      <c r="D143" s="27" t="s">
        <v>31</v>
      </c>
      <c r="E143" s="28">
        <v>0.5</v>
      </c>
      <c r="F143" s="28">
        <v>0.5</v>
      </c>
      <c r="H143" s="40">
        <v>0</v>
      </c>
      <c r="I143" s="40">
        <v>1</v>
      </c>
      <c r="J143" s="40" t="s">
        <v>160</v>
      </c>
    </row>
    <row r="144" spans="2:10" s="28" customFormat="1" ht="15.75" thickBot="1" x14ac:dyDescent="0.3">
      <c r="B144" s="4"/>
      <c r="C144" s="27" t="s">
        <v>71</v>
      </c>
      <c r="D144" s="27" t="s">
        <v>35</v>
      </c>
      <c r="E144" s="28">
        <v>0.5</v>
      </c>
      <c r="F144" s="28">
        <v>0.5</v>
      </c>
      <c r="H144" s="40">
        <v>-1</v>
      </c>
      <c r="I144" s="40">
        <v>-1</v>
      </c>
      <c r="J144" s="40">
        <v>2</v>
      </c>
    </row>
    <row r="145" spans="2:10" ht="15.75" thickBot="1" x14ac:dyDescent="0.3">
      <c r="B145" t="s">
        <v>187</v>
      </c>
      <c r="C145" s="30" t="s">
        <v>73</v>
      </c>
      <c r="D145" s="30" t="s">
        <v>124</v>
      </c>
      <c r="E145" s="28">
        <v>0.75</v>
      </c>
      <c r="F145" s="28">
        <v>0.75</v>
      </c>
      <c r="H145" s="40">
        <v>1</v>
      </c>
      <c r="I145" s="40">
        <v>1</v>
      </c>
      <c r="J145" s="40">
        <v>0</v>
      </c>
    </row>
    <row r="146" spans="2:10" s="28" customFormat="1" ht="15.75" thickBot="1" x14ac:dyDescent="0.3">
      <c r="C146" s="30" t="s">
        <v>73</v>
      </c>
      <c r="D146" s="30" t="s">
        <v>19</v>
      </c>
      <c r="E146" s="28">
        <v>0.75</v>
      </c>
      <c r="F146" s="28">
        <v>0.75</v>
      </c>
      <c r="H146" s="40">
        <v>-1</v>
      </c>
      <c r="I146" s="40">
        <v>1</v>
      </c>
      <c r="J146" s="40">
        <v>2</v>
      </c>
    </row>
    <row r="147" spans="2:10" s="28" customFormat="1" ht="15.75" thickBot="1" x14ac:dyDescent="0.3">
      <c r="C147" s="30" t="s">
        <v>73</v>
      </c>
      <c r="D147" s="30" t="s">
        <v>23</v>
      </c>
      <c r="E147" s="28">
        <v>0.75</v>
      </c>
      <c r="F147" s="28">
        <v>0.75</v>
      </c>
      <c r="H147" s="40">
        <v>0</v>
      </c>
      <c r="I147" s="40">
        <v>1</v>
      </c>
      <c r="J147" s="40">
        <v>1</v>
      </c>
    </row>
    <row r="148" spans="2:10" s="28" customFormat="1" ht="15.75" thickBot="1" x14ac:dyDescent="0.3">
      <c r="C148" s="30" t="s">
        <v>73</v>
      </c>
      <c r="D148" s="30" t="s">
        <v>31</v>
      </c>
      <c r="E148" s="28">
        <v>0.75</v>
      </c>
      <c r="F148" s="28">
        <v>0.75</v>
      </c>
      <c r="H148" s="40">
        <v>-1</v>
      </c>
      <c r="I148" s="40">
        <v>-1</v>
      </c>
      <c r="J148" s="40">
        <v>1</v>
      </c>
    </row>
    <row r="149" spans="2:10" s="28" customFormat="1" ht="15.75" thickBot="1" x14ac:dyDescent="0.3">
      <c r="C149" s="30" t="s">
        <v>73</v>
      </c>
      <c r="D149" s="30" t="s">
        <v>35</v>
      </c>
      <c r="E149" s="28">
        <v>0.75</v>
      </c>
      <c r="F149" s="28">
        <v>0.75</v>
      </c>
      <c r="H149" s="40">
        <v>1</v>
      </c>
      <c r="I149" s="40">
        <v>1</v>
      </c>
      <c r="J149" s="40">
        <v>2</v>
      </c>
    </row>
    <row r="150" spans="2:10" ht="15.75" thickBot="1" x14ac:dyDescent="0.3">
      <c r="B150" t="s">
        <v>188</v>
      </c>
      <c r="C150" s="27" t="s">
        <v>70</v>
      </c>
      <c r="D150" s="27" t="s">
        <v>124</v>
      </c>
      <c r="E150" s="28">
        <v>0.75</v>
      </c>
      <c r="F150" s="28">
        <v>0.75</v>
      </c>
      <c r="H150" s="40">
        <v>1</v>
      </c>
      <c r="I150" s="40">
        <v>1</v>
      </c>
      <c r="J150" s="40">
        <v>1</v>
      </c>
    </row>
    <row r="151" spans="2:10" s="28" customFormat="1" ht="15.75" thickBot="1" x14ac:dyDescent="0.3">
      <c r="C151" s="27" t="s">
        <v>70</v>
      </c>
      <c r="D151" s="27" t="s">
        <v>19</v>
      </c>
      <c r="E151" s="28">
        <v>0.75</v>
      </c>
      <c r="F151" s="28">
        <v>0.75</v>
      </c>
      <c r="H151" s="40">
        <v>-1</v>
      </c>
      <c r="I151" s="40">
        <v>1</v>
      </c>
      <c r="J151" s="40">
        <v>2</v>
      </c>
    </row>
    <row r="152" spans="2:10" s="28" customFormat="1" ht="15.75" thickBot="1" x14ac:dyDescent="0.3">
      <c r="C152" s="27" t="s">
        <v>70</v>
      </c>
      <c r="D152" s="27" t="s">
        <v>23</v>
      </c>
      <c r="E152" s="28">
        <v>0.75</v>
      </c>
      <c r="F152" s="28">
        <v>0.75</v>
      </c>
      <c r="H152" s="40">
        <v>0</v>
      </c>
      <c r="I152" s="40">
        <v>1</v>
      </c>
      <c r="J152" s="40">
        <v>1</v>
      </c>
    </row>
    <row r="153" spans="2:10" s="28" customFormat="1" ht="15.75" thickBot="1" x14ac:dyDescent="0.3">
      <c r="C153" s="27" t="s">
        <v>70</v>
      </c>
      <c r="D153" s="27" t="s">
        <v>31</v>
      </c>
      <c r="E153" s="28">
        <v>0.75</v>
      </c>
      <c r="F153" s="28">
        <v>0.75</v>
      </c>
      <c r="H153" s="40">
        <v>-1</v>
      </c>
      <c r="I153" s="40" t="s">
        <v>160</v>
      </c>
      <c r="J153" s="40">
        <v>1</v>
      </c>
    </row>
    <row r="154" spans="2:10" s="28" customFormat="1" ht="15.75" thickBot="1" x14ac:dyDescent="0.3">
      <c r="C154" s="27" t="s">
        <v>70</v>
      </c>
      <c r="D154" s="27" t="s">
        <v>35</v>
      </c>
      <c r="E154" s="28">
        <v>0.75</v>
      </c>
      <c r="F154" s="28">
        <v>0.75</v>
      </c>
      <c r="H154" s="40">
        <v>1</v>
      </c>
      <c r="I154" s="40">
        <v>1</v>
      </c>
      <c r="J154" s="40">
        <v>2</v>
      </c>
    </row>
    <row r="155" spans="2:10" ht="15.75" thickBot="1" x14ac:dyDescent="0.3">
      <c r="B155" t="s">
        <v>189</v>
      </c>
      <c r="C155" s="30" t="s">
        <v>69</v>
      </c>
      <c r="D155" s="30" t="s">
        <v>124</v>
      </c>
      <c r="E155" s="28">
        <v>0.75</v>
      </c>
      <c r="F155" s="28">
        <v>0.75</v>
      </c>
      <c r="H155" s="40">
        <v>1</v>
      </c>
      <c r="I155" s="40">
        <v>0</v>
      </c>
      <c r="J155" s="40">
        <v>2</v>
      </c>
    </row>
    <row r="156" spans="2:10" s="28" customFormat="1" ht="15.75" thickBot="1" x14ac:dyDescent="0.3">
      <c r="C156" s="30" t="s">
        <v>69</v>
      </c>
      <c r="D156" s="30" t="s">
        <v>19</v>
      </c>
      <c r="E156" s="28">
        <v>0.75</v>
      </c>
      <c r="F156" s="28">
        <v>0.75</v>
      </c>
      <c r="H156" s="40">
        <v>0</v>
      </c>
      <c r="I156" s="40">
        <v>0</v>
      </c>
      <c r="J156" s="40">
        <v>2</v>
      </c>
    </row>
    <row r="157" spans="2:10" s="28" customFormat="1" ht="15.75" thickBot="1" x14ac:dyDescent="0.3">
      <c r="C157" s="30" t="s">
        <v>69</v>
      </c>
      <c r="D157" s="30" t="s">
        <v>23</v>
      </c>
      <c r="E157" s="28">
        <v>0.75</v>
      </c>
      <c r="F157" s="28">
        <v>0.75</v>
      </c>
      <c r="H157" s="40">
        <v>-1</v>
      </c>
      <c r="I157" s="40">
        <v>1</v>
      </c>
      <c r="J157" s="40">
        <v>2</v>
      </c>
    </row>
    <row r="158" spans="2:10" s="28" customFormat="1" ht="15.75" thickBot="1" x14ac:dyDescent="0.3">
      <c r="C158" s="30" t="s">
        <v>69</v>
      </c>
      <c r="D158" s="30" t="s">
        <v>31</v>
      </c>
      <c r="E158" s="28">
        <v>0.75</v>
      </c>
      <c r="F158" s="28">
        <v>0.75</v>
      </c>
      <c r="H158" s="40">
        <v>1</v>
      </c>
      <c r="I158" s="40">
        <v>1</v>
      </c>
      <c r="J158" s="40">
        <v>1</v>
      </c>
    </row>
    <row r="159" spans="2:10" s="28" customFormat="1" ht="15.75" thickBot="1" x14ac:dyDescent="0.3">
      <c r="C159" s="30" t="s">
        <v>69</v>
      </c>
      <c r="D159" s="30" t="s">
        <v>35</v>
      </c>
      <c r="E159" s="28">
        <v>0.75</v>
      </c>
      <c r="F159" s="28">
        <v>0.75</v>
      </c>
      <c r="H159" s="40">
        <v>1</v>
      </c>
      <c r="I159" s="40">
        <v>2</v>
      </c>
      <c r="J159" s="40" t="s">
        <v>160</v>
      </c>
    </row>
    <row r="160" spans="2:10" ht="15.75" thickBot="1" x14ac:dyDescent="0.3">
      <c r="B160" t="s">
        <v>190</v>
      </c>
      <c r="C160" s="27" t="s">
        <v>68</v>
      </c>
      <c r="D160" s="27" t="s">
        <v>124</v>
      </c>
      <c r="E160" s="28">
        <v>0.75</v>
      </c>
      <c r="F160" s="28">
        <v>0.75</v>
      </c>
      <c r="H160" s="40">
        <v>1</v>
      </c>
      <c r="I160" s="40">
        <v>1</v>
      </c>
      <c r="J160" s="40">
        <v>2</v>
      </c>
    </row>
    <row r="161" spans="2:10" s="28" customFormat="1" ht="15.75" thickBot="1" x14ac:dyDescent="0.3">
      <c r="C161" s="27" t="s">
        <v>68</v>
      </c>
      <c r="D161" s="27" t="s">
        <v>21</v>
      </c>
      <c r="E161" s="28">
        <v>0.75</v>
      </c>
      <c r="F161" s="28">
        <v>0.75</v>
      </c>
      <c r="H161" s="40">
        <v>1</v>
      </c>
      <c r="I161" s="40">
        <v>1</v>
      </c>
      <c r="J161" s="40">
        <v>2</v>
      </c>
    </row>
    <row r="162" spans="2:10" s="28" customFormat="1" ht="15.75" thickBot="1" x14ac:dyDescent="0.3">
      <c r="C162" s="27" t="s">
        <v>68</v>
      </c>
      <c r="D162" s="27" t="s">
        <v>23</v>
      </c>
      <c r="E162" s="28">
        <v>0.75</v>
      </c>
      <c r="F162" s="28">
        <v>0.75</v>
      </c>
      <c r="H162" s="40">
        <v>1</v>
      </c>
      <c r="I162" s="40">
        <v>1</v>
      </c>
      <c r="J162" s="40">
        <v>2</v>
      </c>
    </row>
    <row r="163" spans="2:10" s="28" customFormat="1" ht="15.75" thickBot="1" x14ac:dyDescent="0.3">
      <c r="C163" s="27" t="s">
        <v>68</v>
      </c>
      <c r="D163" s="27" t="s">
        <v>31</v>
      </c>
      <c r="E163" s="28">
        <v>0.75</v>
      </c>
      <c r="F163" s="28">
        <v>0.75</v>
      </c>
      <c r="H163" s="40">
        <v>1</v>
      </c>
      <c r="I163" s="40" t="s">
        <v>160</v>
      </c>
      <c r="J163" s="40">
        <v>2</v>
      </c>
    </row>
    <row r="164" spans="2:10" s="28" customFormat="1" ht="15.75" thickBot="1" x14ac:dyDescent="0.3">
      <c r="C164" s="27" t="s">
        <v>68</v>
      </c>
      <c r="D164" s="27" t="s">
        <v>35</v>
      </c>
      <c r="E164" s="28">
        <v>0.5</v>
      </c>
      <c r="F164" s="28">
        <v>0.75</v>
      </c>
      <c r="H164" s="40">
        <v>1</v>
      </c>
      <c r="I164" s="40">
        <v>1</v>
      </c>
      <c r="J164" s="40">
        <v>2</v>
      </c>
    </row>
    <row r="165" spans="2:10" ht="15.75" thickBot="1" x14ac:dyDescent="0.3">
      <c r="B165" t="s">
        <v>191</v>
      </c>
      <c r="C165" s="30" t="s">
        <v>72</v>
      </c>
      <c r="D165" s="30" t="s">
        <v>124</v>
      </c>
      <c r="E165" s="28">
        <v>0</v>
      </c>
      <c r="F165" s="28">
        <v>0</v>
      </c>
      <c r="H165" s="40">
        <v>1</v>
      </c>
      <c r="I165" s="40">
        <v>1</v>
      </c>
      <c r="J165" s="40">
        <v>2</v>
      </c>
    </row>
    <row r="166" spans="2:10" s="28" customFormat="1" ht="15.75" thickBot="1" x14ac:dyDescent="0.3">
      <c r="C166" s="30" t="s">
        <v>72</v>
      </c>
      <c r="D166" s="30" t="s">
        <v>21</v>
      </c>
      <c r="E166" s="28">
        <v>0</v>
      </c>
      <c r="F166" s="28">
        <v>0</v>
      </c>
      <c r="H166" s="40">
        <v>1</v>
      </c>
      <c r="I166" s="40">
        <v>1</v>
      </c>
      <c r="J166" s="40">
        <v>2</v>
      </c>
    </row>
    <row r="167" spans="2:10" s="28" customFormat="1" ht="15.75" thickBot="1" x14ac:dyDescent="0.3">
      <c r="C167" s="30" t="s">
        <v>72</v>
      </c>
      <c r="D167" s="30" t="s">
        <v>23</v>
      </c>
      <c r="E167" s="28">
        <v>0</v>
      </c>
      <c r="F167" s="28">
        <v>0</v>
      </c>
      <c r="H167" s="40">
        <v>1</v>
      </c>
      <c r="I167" s="40" t="s">
        <v>160</v>
      </c>
      <c r="J167" s="40">
        <v>2</v>
      </c>
    </row>
    <row r="168" spans="2:10" s="28" customFormat="1" ht="15.75" thickBot="1" x14ac:dyDescent="0.3">
      <c r="C168" s="30" t="s">
        <v>72</v>
      </c>
      <c r="D168" s="30" t="s">
        <v>31</v>
      </c>
      <c r="E168" s="28">
        <v>0</v>
      </c>
      <c r="F168" s="28">
        <v>0</v>
      </c>
      <c r="H168" s="40">
        <v>1</v>
      </c>
      <c r="I168" s="40">
        <v>1</v>
      </c>
      <c r="J168" s="40">
        <v>2</v>
      </c>
    </row>
    <row r="169" spans="2:10" s="28" customFormat="1" ht="15.75" thickBot="1" x14ac:dyDescent="0.3">
      <c r="C169" s="30" t="s">
        <v>72</v>
      </c>
      <c r="D169" s="30" t="s">
        <v>35</v>
      </c>
      <c r="E169" s="28">
        <v>0</v>
      </c>
      <c r="F169" s="28">
        <v>0</v>
      </c>
      <c r="H169" s="40">
        <v>2</v>
      </c>
      <c r="I169" s="40">
        <v>2</v>
      </c>
      <c r="J169" s="40">
        <v>2</v>
      </c>
    </row>
    <row r="170" spans="2:10" ht="15.75" thickBot="1" x14ac:dyDescent="0.3">
      <c r="B170" t="s">
        <v>192</v>
      </c>
      <c r="C170" s="27" t="s">
        <v>66</v>
      </c>
      <c r="D170" s="27" t="s">
        <v>124</v>
      </c>
      <c r="E170">
        <v>0.25</v>
      </c>
      <c r="F170" s="28">
        <v>0.25</v>
      </c>
      <c r="H170" s="40">
        <v>0</v>
      </c>
      <c r="I170" s="40">
        <v>0</v>
      </c>
      <c r="J170" s="40">
        <v>2</v>
      </c>
    </row>
    <row r="171" spans="2:10" s="28" customFormat="1" ht="15.75" thickBot="1" x14ac:dyDescent="0.3">
      <c r="C171" s="27" t="s">
        <v>66</v>
      </c>
      <c r="D171" s="27" t="s">
        <v>21</v>
      </c>
      <c r="E171" s="28">
        <v>0.25</v>
      </c>
      <c r="F171" s="28">
        <v>0.25</v>
      </c>
      <c r="H171" s="40">
        <v>1</v>
      </c>
      <c r="I171" s="40">
        <v>1</v>
      </c>
      <c r="J171" s="40">
        <v>2</v>
      </c>
    </row>
    <row r="172" spans="2:10" s="28" customFormat="1" ht="15.75" thickBot="1" x14ac:dyDescent="0.3">
      <c r="C172" s="27" t="s">
        <v>66</v>
      </c>
      <c r="D172" s="27" t="s">
        <v>23</v>
      </c>
      <c r="E172" s="28">
        <v>0.25</v>
      </c>
      <c r="F172" s="28">
        <v>0.25</v>
      </c>
      <c r="H172" s="40">
        <v>1</v>
      </c>
      <c r="I172" s="40">
        <v>1</v>
      </c>
      <c r="J172" s="40">
        <v>2</v>
      </c>
    </row>
    <row r="173" spans="2:10" s="28" customFormat="1" ht="15.75" thickBot="1" x14ac:dyDescent="0.3">
      <c r="C173" s="27" t="s">
        <v>66</v>
      </c>
      <c r="D173" s="27" t="s">
        <v>31</v>
      </c>
      <c r="E173" s="28">
        <v>0.5</v>
      </c>
      <c r="F173" s="28">
        <v>0.25</v>
      </c>
      <c r="H173" s="40">
        <v>0</v>
      </c>
      <c r="I173" s="40">
        <v>2</v>
      </c>
      <c r="J173" s="40">
        <v>2</v>
      </c>
    </row>
    <row r="174" spans="2:10" s="28" customFormat="1" ht="15.75" thickBot="1" x14ac:dyDescent="0.3">
      <c r="C174" s="27" t="s">
        <v>66</v>
      </c>
      <c r="D174" s="27" t="s">
        <v>35</v>
      </c>
      <c r="E174" s="28">
        <v>0.25</v>
      </c>
      <c r="F174" s="28">
        <v>0.25</v>
      </c>
      <c r="H174" s="40">
        <v>1</v>
      </c>
      <c r="I174" s="40">
        <v>1</v>
      </c>
      <c r="J174" s="40">
        <v>2</v>
      </c>
    </row>
    <row r="175" spans="2:10" ht="15.75" thickBot="1" x14ac:dyDescent="0.3">
      <c r="B175" t="s">
        <v>193</v>
      </c>
      <c r="C175" s="30" t="s">
        <v>65</v>
      </c>
      <c r="D175" s="30" t="s">
        <v>124</v>
      </c>
      <c r="E175" s="28">
        <v>0</v>
      </c>
      <c r="F175" s="28">
        <v>0</v>
      </c>
      <c r="H175" s="40">
        <v>1</v>
      </c>
      <c r="I175" s="40">
        <v>1</v>
      </c>
      <c r="J175" s="40">
        <v>2</v>
      </c>
    </row>
    <row r="176" spans="2:10" s="28" customFormat="1" ht="15.75" thickBot="1" x14ac:dyDescent="0.3">
      <c r="B176" s="28" t="s">
        <v>128</v>
      </c>
      <c r="C176" s="30" t="s">
        <v>65</v>
      </c>
      <c r="D176" s="30" t="s">
        <v>21</v>
      </c>
      <c r="E176" s="28">
        <v>0</v>
      </c>
      <c r="F176" s="28">
        <v>0</v>
      </c>
      <c r="H176" s="40">
        <v>1</v>
      </c>
      <c r="I176" s="40">
        <v>1</v>
      </c>
      <c r="J176" s="40">
        <v>2</v>
      </c>
    </row>
    <row r="177" spans="2:10" s="28" customFormat="1" ht="15.75" thickBot="1" x14ac:dyDescent="0.3">
      <c r="C177" s="30" t="s">
        <v>65</v>
      </c>
      <c r="D177" s="30" t="s">
        <v>23</v>
      </c>
      <c r="E177" s="28">
        <v>0</v>
      </c>
      <c r="F177" s="28">
        <v>0</v>
      </c>
      <c r="H177" s="40">
        <v>1</v>
      </c>
      <c r="I177" s="40">
        <v>1</v>
      </c>
      <c r="J177" s="40">
        <v>1</v>
      </c>
    </row>
    <row r="178" spans="2:10" s="28" customFormat="1" ht="15.75" thickBot="1" x14ac:dyDescent="0.3">
      <c r="C178" s="30" t="s">
        <v>65</v>
      </c>
      <c r="D178" s="30" t="s">
        <v>31</v>
      </c>
      <c r="E178" s="28">
        <v>0</v>
      </c>
      <c r="F178" s="28">
        <v>0</v>
      </c>
      <c r="H178" s="40">
        <v>1</v>
      </c>
      <c r="I178" s="40">
        <v>2</v>
      </c>
      <c r="J178" s="40">
        <v>2</v>
      </c>
    </row>
    <row r="179" spans="2:10" s="28" customFormat="1" ht="15.75" thickBot="1" x14ac:dyDescent="0.3">
      <c r="B179" s="4">
        <v>2022</v>
      </c>
      <c r="C179" s="30" t="s">
        <v>65</v>
      </c>
      <c r="D179" s="30" t="s">
        <v>35</v>
      </c>
      <c r="E179" s="28">
        <v>0</v>
      </c>
      <c r="F179" s="28">
        <v>0</v>
      </c>
      <c r="H179" s="40">
        <v>1</v>
      </c>
      <c r="I179" s="40">
        <v>1</v>
      </c>
      <c r="J179" s="40">
        <v>2</v>
      </c>
    </row>
    <row r="180" spans="2:10" ht="15.75" thickBot="1" x14ac:dyDescent="0.3">
      <c r="C180" s="27" t="s">
        <v>71</v>
      </c>
      <c r="D180" s="27" t="s">
        <v>124</v>
      </c>
      <c r="E180" s="28">
        <v>0</v>
      </c>
      <c r="F180" s="28">
        <v>0</v>
      </c>
    </row>
    <row r="181" spans="2:10" s="28" customFormat="1" ht="15.75" thickBot="1" x14ac:dyDescent="0.3">
      <c r="B181" s="4"/>
      <c r="C181" s="27" t="s">
        <v>71</v>
      </c>
      <c r="D181" s="27" t="s">
        <v>25</v>
      </c>
      <c r="E181" s="28">
        <v>0</v>
      </c>
      <c r="F181" s="28">
        <v>0</v>
      </c>
    </row>
    <row r="182" spans="2:10" s="28" customFormat="1" ht="15.75" thickBot="1" x14ac:dyDescent="0.3">
      <c r="B182" s="4"/>
      <c r="C182" s="27" t="s">
        <v>71</v>
      </c>
      <c r="D182" s="27" t="s">
        <v>27</v>
      </c>
      <c r="E182" s="28">
        <v>0</v>
      </c>
      <c r="F182" s="28">
        <v>0</v>
      </c>
    </row>
    <row r="183" spans="2:10" s="28" customFormat="1" ht="15.75" thickBot="1" x14ac:dyDescent="0.3">
      <c r="B183" s="4"/>
      <c r="C183" s="27" t="s">
        <v>71</v>
      </c>
      <c r="D183" s="27" t="s">
        <v>29</v>
      </c>
      <c r="E183" s="28">
        <v>0</v>
      </c>
      <c r="F183" s="28">
        <v>0</v>
      </c>
    </row>
    <row r="184" spans="2:10" s="28" customFormat="1" ht="15.75" thickBot="1" x14ac:dyDescent="0.3">
      <c r="B184" s="4"/>
      <c r="C184" s="27" t="s">
        <v>71</v>
      </c>
      <c r="D184" s="27" t="s">
        <v>39</v>
      </c>
      <c r="E184" s="28">
        <v>0</v>
      </c>
      <c r="F184" s="28">
        <v>0</v>
      </c>
    </row>
    <row r="185" spans="2:10" ht="15.75" thickBot="1" x14ac:dyDescent="0.3">
      <c r="B185" s="4"/>
      <c r="C185" s="30" t="s">
        <v>73</v>
      </c>
      <c r="D185" s="30" t="s">
        <v>124</v>
      </c>
      <c r="E185" s="28">
        <v>0</v>
      </c>
      <c r="F185" s="28">
        <v>0</v>
      </c>
    </row>
    <row r="186" spans="2:10" s="28" customFormat="1" ht="15.75" thickBot="1" x14ac:dyDescent="0.3">
      <c r="B186" s="4"/>
      <c r="C186" s="30" t="s">
        <v>73</v>
      </c>
      <c r="D186" s="30" t="s">
        <v>25</v>
      </c>
      <c r="E186" s="28">
        <v>0</v>
      </c>
      <c r="F186" s="28">
        <v>0</v>
      </c>
    </row>
    <row r="187" spans="2:10" s="28" customFormat="1" ht="15.75" thickBot="1" x14ac:dyDescent="0.3">
      <c r="B187" s="4"/>
      <c r="C187" s="30" t="s">
        <v>73</v>
      </c>
      <c r="D187" s="30" t="s">
        <v>27</v>
      </c>
      <c r="E187" s="28">
        <v>0</v>
      </c>
      <c r="F187" s="28">
        <v>0</v>
      </c>
    </row>
    <row r="188" spans="2:10" s="28" customFormat="1" ht="15.75" thickBot="1" x14ac:dyDescent="0.3">
      <c r="B188" s="4"/>
      <c r="C188" s="30" t="s">
        <v>73</v>
      </c>
      <c r="D188" s="30" t="s">
        <v>29</v>
      </c>
      <c r="E188" s="28">
        <v>0</v>
      </c>
      <c r="F188" s="28">
        <v>0</v>
      </c>
    </row>
    <row r="189" spans="2:10" s="28" customFormat="1" ht="15.75" thickBot="1" x14ac:dyDescent="0.3">
      <c r="B189" s="4"/>
      <c r="C189" s="30" t="s">
        <v>73</v>
      </c>
      <c r="D189" s="30" t="s">
        <v>39</v>
      </c>
      <c r="E189" s="28">
        <v>0</v>
      </c>
      <c r="F189" s="28">
        <v>0</v>
      </c>
    </row>
    <row r="190" spans="2:10" ht="15.75" thickBot="1" x14ac:dyDescent="0.3">
      <c r="B190" s="4"/>
      <c r="C190" s="27" t="s">
        <v>70</v>
      </c>
      <c r="D190" s="27" t="s">
        <v>124</v>
      </c>
      <c r="E190" s="28">
        <v>0</v>
      </c>
      <c r="F190" s="28">
        <v>0</v>
      </c>
    </row>
    <row r="191" spans="2:10" s="28" customFormat="1" ht="15.75" thickBot="1" x14ac:dyDescent="0.3">
      <c r="B191" s="4"/>
      <c r="C191" s="27" t="s">
        <v>70</v>
      </c>
      <c r="D191" s="27" t="s">
        <v>25</v>
      </c>
      <c r="E191" s="28">
        <v>0</v>
      </c>
      <c r="F191" s="28">
        <v>0</v>
      </c>
    </row>
    <row r="192" spans="2:10" s="28" customFormat="1" ht="15.75" thickBot="1" x14ac:dyDescent="0.3">
      <c r="B192" s="4"/>
      <c r="C192" s="27" t="s">
        <v>70</v>
      </c>
      <c r="D192" s="27" t="s">
        <v>27</v>
      </c>
      <c r="E192" s="28">
        <v>0</v>
      </c>
      <c r="F192" s="28">
        <v>0</v>
      </c>
    </row>
    <row r="193" spans="2:6" s="28" customFormat="1" ht="15.75" thickBot="1" x14ac:dyDescent="0.3">
      <c r="B193" s="4"/>
      <c r="C193" s="27" t="s">
        <v>70</v>
      </c>
      <c r="D193" s="27" t="s">
        <v>29</v>
      </c>
      <c r="E193" s="28">
        <v>0</v>
      </c>
      <c r="F193" s="28">
        <v>0</v>
      </c>
    </row>
    <row r="194" spans="2:6" s="28" customFormat="1" ht="15.75" thickBot="1" x14ac:dyDescent="0.3">
      <c r="B194" s="4"/>
      <c r="C194" s="27" t="s">
        <v>70</v>
      </c>
      <c r="D194" s="27" t="s">
        <v>39</v>
      </c>
      <c r="E194" s="28">
        <v>0</v>
      </c>
      <c r="F194" s="28">
        <v>0</v>
      </c>
    </row>
    <row r="195" spans="2:6" ht="15.75" thickBot="1" x14ac:dyDescent="0.3">
      <c r="B195" s="4"/>
      <c r="C195" s="30" t="s">
        <v>69</v>
      </c>
      <c r="D195" s="30" t="s">
        <v>124</v>
      </c>
      <c r="E195" s="28">
        <v>0</v>
      </c>
      <c r="F195" s="28">
        <v>0</v>
      </c>
    </row>
    <row r="196" spans="2:6" s="28" customFormat="1" ht="15.75" thickBot="1" x14ac:dyDescent="0.3">
      <c r="B196" s="4"/>
      <c r="C196" s="30" t="s">
        <v>69</v>
      </c>
      <c r="D196" s="30" t="s">
        <v>25</v>
      </c>
      <c r="E196" s="28">
        <v>0</v>
      </c>
      <c r="F196" s="28">
        <v>0</v>
      </c>
    </row>
    <row r="197" spans="2:6" s="28" customFormat="1" ht="15.75" thickBot="1" x14ac:dyDescent="0.3">
      <c r="B197" s="4"/>
      <c r="C197" s="30" t="s">
        <v>69</v>
      </c>
      <c r="D197" s="30" t="s">
        <v>27</v>
      </c>
      <c r="E197" s="28">
        <v>0</v>
      </c>
      <c r="F197" s="28">
        <v>0</v>
      </c>
    </row>
    <row r="198" spans="2:6" s="28" customFormat="1" ht="15.75" thickBot="1" x14ac:dyDescent="0.3">
      <c r="B198" s="4"/>
      <c r="C198" s="30" t="s">
        <v>69</v>
      </c>
      <c r="D198" s="30" t="s">
        <v>29</v>
      </c>
      <c r="E198" s="28">
        <v>0</v>
      </c>
      <c r="F198" s="28">
        <v>0</v>
      </c>
    </row>
    <row r="199" spans="2:6" s="28" customFormat="1" ht="15.75" thickBot="1" x14ac:dyDescent="0.3">
      <c r="B199" s="4"/>
      <c r="C199" s="30" t="s">
        <v>69</v>
      </c>
      <c r="D199" s="30" t="s">
        <v>39</v>
      </c>
      <c r="E199" s="28">
        <v>0</v>
      </c>
      <c r="F199" s="28">
        <v>0</v>
      </c>
    </row>
    <row r="200" spans="2:6" ht="15.75" thickBot="1" x14ac:dyDescent="0.3">
      <c r="B200" s="4"/>
      <c r="C200" s="27" t="s">
        <v>68</v>
      </c>
      <c r="D200" s="27" t="s">
        <v>124</v>
      </c>
      <c r="E200" s="28">
        <v>0</v>
      </c>
      <c r="F200" s="28">
        <v>0</v>
      </c>
    </row>
    <row r="201" spans="2:6" s="28" customFormat="1" ht="15.75" thickBot="1" x14ac:dyDescent="0.3">
      <c r="B201" s="4"/>
      <c r="C201" s="27" t="s">
        <v>68</v>
      </c>
      <c r="D201" s="27" t="s">
        <v>25</v>
      </c>
      <c r="E201" s="28">
        <v>0</v>
      </c>
      <c r="F201" s="28">
        <v>0</v>
      </c>
    </row>
    <row r="202" spans="2:6" s="28" customFormat="1" ht="15.75" thickBot="1" x14ac:dyDescent="0.3">
      <c r="B202" s="4"/>
      <c r="C202" s="27" t="s">
        <v>68</v>
      </c>
      <c r="D202" s="27" t="s">
        <v>27</v>
      </c>
      <c r="E202" s="28">
        <v>0</v>
      </c>
      <c r="F202" s="28">
        <v>0</v>
      </c>
    </row>
    <row r="203" spans="2:6" s="28" customFormat="1" ht="15.75" thickBot="1" x14ac:dyDescent="0.3">
      <c r="B203" s="4"/>
      <c r="C203" s="27" t="s">
        <v>68</v>
      </c>
      <c r="D203" s="27" t="s">
        <v>29</v>
      </c>
      <c r="E203" s="28">
        <v>0</v>
      </c>
      <c r="F203" s="28">
        <v>0</v>
      </c>
    </row>
    <row r="204" spans="2:6" s="28" customFormat="1" ht="15.75" thickBot="1" x14ac:dyDescent="0.3">
      <c r="B204" s="4"/>
      <c r="C204" s="27" t="s">
        <v>68</v>
      </c>
      <c r="D204" s="27" t="s">
        <v>39</v>
      </c>
      <c r="E204" s="28">
        <v>0</v>
      </c>
      <c r="F204" s="28">
        <v>0</v>
      </c>
    </row>
    <row r="205" spans="2:6" ht="15.75" thickBot="1" x14ac:dyDescent="0.3">
      <c r="B205" s="4"/>
      <c r="C205" s="30" t="s">
        <v>67</v>
      </c>
      <c r="D205" s="30" t="s">
        <v>124</v>
      </c>
      <c r="E205" s="28">
        <v>0</v>
      </c>
      <c r="F205" s="28">
        <v>0</v>
      </c>
    </row>
    <row r="206" spans="2:6" s="28" customFormat="1" ht="15.75" thickBot="1" x14ac:dyDescent="0.3">
      <c r="B206" s="4"/>
      <c r="C206" s="30" t="s">
        <v>67</v>
      </c>
      <c r="D206" s="30" t="s">
        <v>25</v>
      </c>
      <c r="E206" s="28">
        <v>0</v>
      </c>
      <c r="F206" s="28">
        <v>0</v>
      </c>
    </row>
    <row r="207" spans="2:6" s="28" customFormat="1" ht="15.75" thickBot="1" x14ac:dyDescent="0.3">
      <c r="B207" s="4"/>
      <c r="C207" s="30" t="s">
        <v>67</v>
      </c>
      <c r="D207" s="30" t="s">
        <v>27</v>
      </c>
      <c r="E207" s="28">
        <v>0</v>
      </c>
      <c r="F207" s="28">
        <v>0</v>
      </c>
    </row>
    <row r="208" spans="2:6" s="28" customFormat="1" ht="15.75" thickBot="1" x14ac:dyDescent="0.3">
      <c r="B208" s="4"/>
      <c r="C208" s="30" t="s">
        <v>67</v>
      </c>
      <c r="D208" s="30" t="s">
        <v>29</v>
      </c>
      <c r="E208" s="28">
        <v>0</v>
      </c>
      <c r="F208" s="28">
        <v>0</v>
      </c>
    </row>
    <row r="209" spans="2:6" s="28" customFormat="1" ht="15.75" thickBot="1" x14ac:dyDescent="0.3">
      <c r="B209" s="4"/>
      <c r="C209" s="30" t="s">
        <v>67</v>
      </c>
      <c r="D209" s="30" t="s">
        <v>39</v>
      </c>
      <c r="E209" s="28">
        <v>0</v>
      </c>
      <c r="F209" s="28">
        <v>0</v>
      </c>
    </row>
    <row r="210" spans="2:6" ht="15.75" thickBot="1" x14ac:dyDescent="0.3">
      <c r="B210" s="4"/>
      <c r="C210" s="27" t="s">
        <v>66</v>
      </c>
      <c r="D210" s="27" t="s">
        <v>124</v>
      </c>
      <c r="E210" s="28">
        <v>0</v>
      </c>
      <c r="F210" s="28">
        <v>0</v>
      </c>
    </row>
    <row r="211" spans="2:6" s="28" customFormat="1" ht="15.75" thickBot="1" x14ac:dyDescent="0.3">
      <c r="B211" s="4"/>
      <c r="C211" s="27" t="s">
        <v>66</v>
      </c>
      <c r="D211" s="27" t="s">
        <v>25</v>
      </c>
      <c r="E211" s="28">
        <v>0</v>
      </c>
      <c r="F211" s="28">
        <v>0</v>
      </c>
    </row>
    <row r="212" spans="2:6" s="28" customFormat="1" ht="15.75" thickBot="1" x14ac:dyDescent="0.3">
      <c r="B212" s="4"/>
      <c r="C212" s="27" t="s">
        <v>66</v>
      </c>
      <c r="D212" s="27" t="s">
        <v>27</v>
      </c>
      <c r="E212" s="28">
        <v>0</v>
      </c>
      <c r="F212" s="28">
        <v>0</v>
      </c>
    </row>
    <row r="213" spans="2:6" s="28" customFormat="1" ht="15.75" thickBot="1" x14ac:dyDescent="0.3">
      <c r="B213" s="4"/>
      <c r="C213" s="27" t="s">
        <v>66</v>
      </c>
      <c r="D213" s="27" t="s">
        <v>29</v>
      </c>
      <c r="E213" s="28">
        <v>0</v>
      </c>
      <c r="F213" s="28">
        <v>0</v>
      </c>
    </row>
    <row r="214" spans="2:6" s="28" customFormat="1" ht="15.75" thickBot="1" x14ac:dyDescent="0.3">
      <c r="B214" s="4"/>
      <c r="C214" s="27" t="s">
        <v>66</v>
      </c>
      <c r="D214" s="27" t="s">
        <v>39</v>
      </c>
      <c r="E214" s="28">
        <v>0</v>
      </c>
      <c r="F214" s="28">
        <v>0</v>
      </c>
    </row>
    <row r="215" spans="2:6" ht="15.75" thickBot="1" x14ac:dyDescent="0.3">
      <c r="B215" s="4"/>
      <c r="C215" s="30" t="s">
        <v>65</v>
      </c>
      <c r="D215" s="30" t="s">
        <v>124</v>
      </c>
      <c r="E215">
        <v>0</v>
      </c>
      <c r="F215" s="28">
        <v>0</v>
      </c>
    </row>
    <row r="216" spans="2:6" s="28" customFormat="1" ht="15.75" thickBot="1" x14ac:dyDescent="0.3">
      <c r="B216" s="4"/>
      <c r="C216" s="30" t="s">
        <v>65</v>
      </c>
      <c r="D216" s="30" t="s">
        <v>25</v>
      </c>
      <c r="E216" s="28">
        <v>0</v>
      </c>
      <c r="F216" s="28">
        <v>0</v>
      </c>
    </row>
    <row r="217" spans="2:6" s="28" customFormat="1" ht="15.75" thickBot="1" x14ac:dyDescent="0.3">
      <c r="B217" s="4"/>
      <c r="C217" s="30" t="s">
        <v>65</v>
      </c>
      <c r="D217" s="30" t="s">
        <v>27</v>
      </c>
      <c r="E217" s="28">
        <v>0</v>
      </c>
      <c r="F217" s="28">
        <v>0</v>
      </c>
    </row>
    <row r="218" spans="2:6" s="28" customFormat="1" ht="15.75" thickBot="1" x14ac:dyDescent="0.3">
      <c r="B218" s="4"/>
      <c r="C218" s="30" t="s">
        <v>65</v>
      </c>
      <c r="D218" s="30" t="s">
        <v>29</v>
      </c>
      <c r="E218" s="28">
        <v>0</v>
      </c>
      <c r="F218" s="28">
        <v>0</v>
      </c>
    </row>
    <row r="219" spans="2:6" s="28" customFormat="1" ht="15.75" thickBot="1" x14ac:dyDescent="0.3">
      <c r="B219" s="4">
        <v>2021</v>
      </c>
      <c r="C219" s="30" t="s">
        <v>65</v>
      </c>
      <c r="D219" s="30" t="s">
        <v>39</v>
      </c>
      <c r="E219" s="28">
        <v>0</v>
      </c>
      <c r="F219" s="28">
        <v>0</v>
      </c>
    </row>
  </sheetData>
  <hyperlinks>
    <hyperlink ref="D4" r:id="rId1" xr:uid="{339F34B2-3CE9-43CB-8B17-3BD8F6C1A1E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46C42-8243-4493-8231-DC71086722F4}">
  <sheetPr>
    <tabColor theme="8" tint="0.79998168889431442"/>
  </sheetPr>
  <dimension ref="C1:E8"/>
  <sheetViews>
    <sheetView workbookViewId="0">
      <selection activeCell="E6" sqref="E6"/>
    </sheetView>
  </sheetViews>
  <sheetFormatPr defaultRowHeight="15" x14ac:dyDescent="0.25"/>
  <cols>
    <col min="3" max="3" width="10.42578125" customWidth="1"/>
    <col min="4" max="4" width="41.5703125" bestFit="1" customWidth="1"/>
    <col min="5" max="5" width="78.85546875" bestFit="1" customWidth="1"/>
    <col min="18" max="18" width="5.85546875" bestFit="1" customWidth="1"/>
    <col min="19" max="19" width="41.5703125" bestFit="1" customWidth="1"/>
    <col min="20" max="20" width="108.42578125" bestFit="1" customWidth="1"/>
  </cols>
  <sheetData>
    <row r="1" spans="3:5" ht="18.75" x14ac:dyDescent="0.3">
      <c r="C1" s="38" t="s">
        <v>142</v>
      </c>
      <c r="D1" s="29"/>
      <c r="E1" s="29"/>
    </row>
    <row r="2" spans="3:5" x14ac:dyDescent="0.25">
      <c r="C2" s="29"/>
      <c r="D2" s="29"/>
      <c r="E2" s="29"/>
    </row>
    <row r="3" spans="3:5" x14ac:dyDescent="0.25">
      <c r="C3" s="3" t="s">
        <v>143</v>
      </c>
      <c r="D3" s="3" t="s">
        <v>144</v>
      </c>
      <c r="E3" s="3" t="s">
        <v>145</v>
      </c>
    </row>
    <row r="4" spans="3:5" ht="135" x14ac:dyDescent="0.25">
      <c r="C4" s="36">
        <v>2</v>
      </c>
      <c r="D4" s="37" t="s">
        <v>146</v>
      </c>
      <c r="E4" s="1" t="s">
        <v>153</v>
      </c>
    </row>
    <row r="5" spans="3:5" ht="90" x14ac:dyDescent="0.25">
      <c r="C5" s="36">
        <v>1</v>
      </c>
      <c r="D5" s="37" t="s">
        <v>147</v>
      </c>
      <c r="E5" s="1" t="s">
        <v>154</v>
      </c>
    </row>
    <row r="6" spans="3:5" ht="75" x14ac:dyDescent="0.25">
      <c r="C6" s="36">
        <v>0</v>
      </c>
      <c r="D6" s="37" t="s">
        <v>148</v>
      </c>
      <c r="E6" s="1" t="s">
        <v>155</v>
      </c>
    </row>
    <row r="7" spans="3:5" ht="75" x14ac:dyDescent="0.25">
      <c r="C7" s="36" t="s">
        <v>149</v>
      </c>
      <c r="D7" s="37" t="s">
        <v>150</v>
      </c>
      <c r="E7" s="1" t="s">
        <v>156</v>
      </c>
    </row>
    <row r="8" spans="3:5" ht="60" x14ac:dyDescent="0.25">
      <c r="C8" s="36" t="s">
        <v>151</v>
      </c>
      <c r="D8" s="37" t="s">
        <v>152</v>
      </c>
      <c r="E8" s="1"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Decision making</vt:lpstr>
      <vt:lpstr>Macro Model &gt;&gt;</vt:lpstr>
      <vt:lpstr>Model Output</vt:lpstr>
      <vt:lpstr>Regression Model</vt:lpstr>
      <vt:lpstr>Input data</vt:lpstr>
      <vt:lpstr>Micro Model &gt;&gt;</vt:lpstr>
      <vt:lpstr>Output</vt:lpstr>
      <vt:lpstr>tampered Input</vt:lpstr>
      <vt:lpstr>Input</vt:lpstr>
      <vt:lpstr>variable 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Döhner</dc:creator>
  <cp:lastModifiedBy>Georg Döhner</cp:lastModifiedBy>
  <dcterms:created xsi:type="dcterms:W3CDTF">2026-06-24T14:12:32Z</dcterms:created>
  <dcterms:modified xsi:type="dcterms:W3CDTF">2026-07-01T20:04:19Z</dcterms:modified>
</cp:coreProperties>
</file>